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aof\Desktop\Dio_Especialização\projeto-ETL-financeiro-DIO\"/>
    </mc:Choice>
  </mc:AlternateContent>
  <xr:revisionPtr revIDLastSave="0" documentId="13_ncr:1_{75C952F8-7C6D-42BF-852B-45A4AA1FB913}" xr6:coauthVersionLast="47" xr6:coauthVersionMax="47" xr10:uidLastSave="{00000000-0000-0000-0000-000000000000}"/>
  <bookViews>
    <workbookView xWindow="-108" yWindow="-108" windowWidth="23256" windowHeight="13176" xr2:uid="{1C6C4894-B160-4CA4-90D9-AF3B229D8B0D}"/>
  </bookViews>
  <sheets>
    <sheet name="Recebimentos" sheetId="1" r:id="rId1"/>
    <sheet name="Gastos" sheetId="2" r:id="rId2"/>
    <sheet name="Sobras" sheetId="3" r:id="rId3"/>
    <sheet name="Investimento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2" i="3" l="1" a="1"/>
  <c r="C2" i="3" s="1"/>
  <c r="C2" i="4" s="1"/>
  <c r="C3" i="3" a="1"/>
  <c r="C3" i="3" s="1"/>
  <c r="C3" i="4" s="1"/>
  <c r="C4" i="3" a="1"/>
  <c r="C4" i="3" s="1"/>
  <c r="C4" i="4" s="1"/>
  <c r="C5" i="3" a="1"/>
  <c r="C5" i="3" s="1"/>
  <c r="C5" i="4" s="1"/>
  <c r="C6" i="3" a="1"/>
  <c r="C6" i="3" s="1"/>
  <c r="C6" i="4" s="1"/>
  <c r="C7" i="3" a="1"/>
  <c r="C7" i="3" s="1"/>
  <c r="C7" i="4" s="1"/>
  <c r="C8" i="3" a="1"/>
  <c r="C8" i="3" s="1"/>
  <c r="C8" i="4" s="1"/>
  <c r="C9" i="3" a="1"/>
  <c r="C9" i="3" s="1"/>
  <c r="C9" i="4" s="1"/>
  <c r="C10" i="3" a="1"/>
  <c r="C10" i="3" s="1"/>
  <c r="C10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<sst xmlns="http://schemas.openxmlformats.org/spreadsheetml/2006/main" count="535" uniqueCount="48">
  <si>
    <t>Mês</t>
  </si>
  <si>
    <t>Usuário</t>
  </si>
  <si>
    <t>Data</t>
  </si>
  <si>
    <t>Valor</t>
  </si>
  <si>
    <t>Descrição</t>
  </si>
  <si>
    <t>Tipo Investimento</t>
  </si>
  <si>
    <t>Ana</t>
  </si>
  <si>
    <t>Salário</t>
  </si>
  <si>
    <t>Venda Online</t>
  </si>
  <si>
    <t>Presente</t>
  </si>
  <si>
    <t>Rendimento Poupança</t>
  </si>
  <si>
    <t>Cashback</t>
  </si>
  <si>
    <t>Freelance</t>
  </si>
  <si>
    <t>Reembolso</t>
  </si>
  <si>
    <t>Bônus</t>
  </si>
  <si>
    <t>Aluguel Recebido</t>
  </si>
  <si>
    <t>Dividendos</t>
  </si>
  <si>
    <t>Bruno</t>
  </si>
  <si>
    <t>Carlos</t>
  </si>
  <si>
    <t>Aluguel</t>
  </si>
  <si>
    <t>Água</t>
  </si>
  <si>
    <t>Luz</t>
  </si>
  <si>
    <t>Internet</t>
  </si>
  <si>
    <t>Supermercado</t>
  </si>
  <si>
    <t>Celular</t>
  </si>
  <si>
    <t>Restaurante</t>
  </si>
  <si>
    <t>Presentes</t>
  </si>
  <si>
    <t>Gasolina</t>
  </si>
  <si>
    <t>Lazer</t>
  </si>
  <si>
    <t>Academia</t>
  </si>
  <si>
    <t>Farmácia</t>
  </si>
  <si>
    <t>Seguro</t>
  </si>
  <si>
    <t>Saúde</t>
  </si>
  <si>
    <t>Manutenção Casa</t>
  </si>
  <si>
    <t>Pet</t>
  </si>
  <si>
    <t>Roupas</t>
  </si>
  <si>
    <t>Streaming</t>
  </si>
  <si>
    <t>Transporte</t>
  </si>
  <si>
    <t>Educação</t>
  </si>
  <si>
    <t>2026-01</t>
  </si>
  <si>
    <t>2026-02</t>
  </si>
  <si>
    <t>2026-03</t>
  </si>
  <si>
    <t>Poupança</t>
  </si>
  <si>
    <t>Ações</t>
  </si>
  <si>
    <t>FII</t>
  </si>
  <si>
    <t>CDB</t>
  </si>
  <si>
    <t>Tesouro Direto</t>
  </si>
  <si>
    <t>Criptomoedas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</si>
</sst>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4" fontId="0" fillId="0" borderId="0" xfId="0" applyNumberFormat="1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DD704-DA73-43BA-9C94-E16EBC405D1C}">
  <dimension ref="A1:D100"/>
  <sheetViews>
    <sheetView tabSelected="1" workbookViewId="0">
      <selection activeCell="D100" sqref="D100"/>
    </sheetView>
  </sheetViews>
  <sheetFormatPr defaultColWidth="7.88671875" defaultRowHeight="14.4" x14ac:dyDescent="0.3"/>
  <cols>
    <col min="1" max="3" width="14.109375" customWidth="1"/>
    <col min="4" max="4" width="19.6640625" customWidth="1"/>
  </cols>
  <sheetData>
    <row r="1" spans="1:4" ht="22.05" customHeight="1" x14ac:dyDescent="0.3">
      <c r="A1" s="3" t="s">
        <v>1</v>
      </c>
      <c r="B1" s="3" t="s">
        <v>2</v>
      </c>
      <c r="C1" s="3" t="s">
        <v>3</v>
      </c>
      <c r="D1" s="3" t="s">
        <v>4</v>
      </c>
    </row>
    <row r="2" spans="1:4" x14ac:dyDescent="0.3">
      <c r="A2" t="s">
        <v>6</v>
      </c>
      <c r="B2" s="1">
        <v>46067</v>
      </c>
      <c r="C2" s="2">
        <v>454.02</v>
      </c>
      <c r="D2" t="s">
        <v>16</v>
      </c>
    </row>
    <row r="3" spans="1:4" x14ac:dyDescent="0.3">
      <c r="A3" t="s">
        <v>6</v>
      </c>
      <c r="B3" s="1">
        <v>46101</v>
      </c>
      <c r="C3" s="2">
        <v>240.41</v>
      </c>
      <c r="D3" t="s">
        <v>16</v>
      </c>
    </row>
    <row r="4" spans="1:4" x14ac:dyDescent="0.3">
      <c r="B4" s="1">
        <v>46058</v>
      </c>
      <c r="C4" s="2">
        <v>1702.12</v>
      </c>
      <c r="D4" t="s">
        <v>12</v>
      </c>
    </row>
    <row r="5" spans="1:4" x14ac:dyDescent="0.3">
      <c r="A5" t="s">
        <v>18</v>
      </c>
      <c r="B5" s="1">
        <v>46081</v>
      </c>
      <c r="C5" s="2">
        <v>445.63</v>
      </c>
    </row>
    <row r="6" spans="1:4" x14ac:dyDescent="0.3">
      <c r="A6" t="s">
        <v>17</v>
      </c>
      <c r="B6" s="1">
        <v>46062</v>
      </c>
      <c r="C6" s="2">
        <v>83.11</v>
      </c>
      <c r="D6" t="s">
        <v>13</v>
      </c>
    </row>
    <row r="7" spans="1:4" x14ac:dyDescent="0.3">
      <c r="A7" t="s">
        <v>6</v>
      </c>
      <c r="B7" s="1">
        <v>46110</v>
      </c>
      <c r="C7" s="2">
        <v>462.3</v>
      </c>
      <c r="D7" t="s">
        <v>8</v>
      </c>
    </row>
    <row r="8" spans="1:4" x14ac:dyDescent="0.3">
      <c r="A8" t="s">
        <v>6</v>
      </c>
      <c r="B8" s="1">
        <v>46023</v>
      </c>
      <c r="C8" s="2">
        <v>134.19</v>
      </c>
      <c r="D8" t="s">
        <v>10</v>
      </c>
    </row>
    <row r="9" spans="1:4" x14ac:dyDescent="0.3">
      <c r="A9" t="s">
        <v>18</v>
      </c>
      <c r="B9" s="1">
        <v>46058</v>
      </c>
      <c r="C9" s="2">
        <v>7216.41</v>
      </c>
      <c r="D9" t="s">
        <v>7</v>
      </c>
    </row>
    <row r="10" spans="1:4" x14ac:dyDescent="0.3">
      <c r="A10" t="s">
        <v>17</v>
      </c>
      <c r="B10" s="1">
        <v>46109</v>
      </c>
      <c r="C10" s="2">
        <v>123.13</v>
      </c>
      <c r="D10" t="s">
        <v>9</v>
      </c>
    </row>
    <row r="11" spans="1:4" x14ac:dyDescent="0.3">
      <c r="A11" t="s">
        <v>18</v>
      </c>
      <c r="B11" s="1">
        <v>46076</v>
      </c>
      <c r="C11" s="2">
        <v>462.57</v>
      </c>
      <c r="D11" t="s">
        <v>8</v>
      </c>
    </row>
    <row r="12" spans="1:4" x14ac:dyDescent="0.3">
      <c r="A12" t="s">
        <v>17</v>
      </c>
      <c r="B12" s="1">
        <v>46103</v>
      </c>
      <c r="C12" s="2">
        <v>923.35</v>
      </c>
      <c r="D12" t="s">
        <v>15</v>
      </c>
    </row>
    <row r="13" spans="1:4" x14ac:dyDescent="0.3">
      <c r="A13" t="s">
        <v>6</v>
      </c>
      <c r="B13" s="1">
        <v>46094</v>
      </c>
      <c r="C13" s="2">
        <v>497.82</v>
      </c>
      <c r="D13" t="s">
        <v>9</v>
      </c>
    </row>
    <row r="14" spans="1:4" x14ac:dyDescent="0.3">
      <c r="A14" t="s">
        <v>6</v>
      </c>
      <c r="B14" s="1">
        <v>46027</v>
      </c>
      <c r="C14" s="2">
        <v>6769.14</v>
      </c>
      <c r="D14" t="s">
        <v>7</v>
      </c>
    </row>
    <row r="15" spans="1:4" x14ac:dyDescent="0.3">
      <c r="A15" t="s">
        <v>18</v>
      </c>
      <c r="B15" s="1">
        <v>46100</v>
      </c>
      <c r="C15" s="2">
        <v>69.67</v>
      </c>
      <c r="D15" t="s">
        <v>11</v>
      </c>
    </row>
    <row r="16" spans="1:4" x14ac:dyDescent="0.3">
      <c r="A16" t="s">
        <v>18</v>
      </c>
      <c r="B16" s="1">
        <v>46101</v>
      </c>
      <c r="C16" s="2">
        <v>940.95</v>
      </c>
      <c r="D16" t="s">
        <v>14</v>
      </c>
    </row>
    <row r="17" spans="1:4" x14ac:dyDescent="0.3">
      <c r="A17" t="s">
        <v>6</v>
      </c>
      <c r="B17" s="1">
        <v>46085</v>
      </c>
      <c r="C17" s="2">
        <v>597.49</v>
      </c>
      <c r="D17" t="s">
        <v>14</v>
      </c>
    </row>
    <row r="18" spans="1:4" x14ac:dyDescent="0.3">
      <c r="A18" t="s">
        <v>17</v>
      </c>
      <c r="B18" s="1">
        <v>46050</v>
      </c>
      <c r="C18" s="2">
        <v>297.64999999999998</v>
      </c>
      <c r="D18" t="s">
        <v>16</v>
      </c>
    </row>
    <row r="19" spans="1:4" x14ac:dyDescent="0.3">
      <c r="A19" t="s">
        <v>6</v>
      </c>
      <c r="B19" s="1">
        <v>46066</v>
      </c>
      <c r="C19" s="2">
        <v>734.4</v>
      </c>
      <c r="D19" t="s">
        <v>14</v>
      </c>
    </row>
    <row r="20" spans="1:4" x14ac:dyDescent="0.3">
      <c r="A20" t="s">
        <v>6</v>
      </c>
      <c r="B20" s="1">
        <v>46090</v>
      </c>
      <c r="C20" s="2">
        <v>129.15</v>
      </c>
      <c r="D20" t="s">
        <v>10</v>
      </c>
    </row>
    <row r="21" spans="1:4" x14ac:dyDescent="0.3">
      <c r="A21" t="s">
        <v>18</v>
      </c>
      <c r="B21" s="1">
        <v>46105</v>
      </c>
      <c r="C21" s="2">
        <v>124.27</v>
      </c>
      <c r="D21" t="s">
        <v>16</v>
      </c>
    </row>
    <row r="22" spans="1:4" x14ac:dyDescent="0.3">
      <c r="A22" t="s">
        <v>6</v>
      </c>
      <c r="B22" s="1">
        <v>46056</v>
      </c>
      <c r="C22" s="2">
        <v>78.02</v>
      </c>
      <c r="D22" t="s">
        <v>11</v>
      </c>
    </row>
    <row r="23" spans="1:4" x14ac:dyDescent="0.3">
      <c r="A23" t="s">
        <v>18</v>
      </c>
      <c r="B23" s="1">
        <v>46046</v>
      </c>
      <c r="C23" s="2">
        <v>1505.94</v>
      </c>
      <c r="D23" t="s">
        <v>12</v>
      </c>
    </row>
    <row r="24" spans="1:4" x14ac:dyDescent="0.3">
      <c r="A24" t="s">
        <v>6</v>
      </c>
      <c r="B24" s="1">
        <v>46058</v>
      </c>
      <c r="C24" s="2">
        <v>6771.98</v>
      </c>
      <c r="D24" t="s">
        <v>7</v>
      </c>
    </row>
    <row r="25" spans="1:4" x14ac:dyDescent="0.3">
      <c r="A25" t="s">
        <v>17</v>
      </c>
      <c r="B25" s="1">
        <v>46109</v>
      </c>
      <c r="C25" s="2">
        <v>1109.57</v>
      </c>
      <c r="D25" t="s">
        <v>12</v>
      </c>
    </row>
    <row r="26" spans="1:4" x14ac:dyDescent="0.3">
      <c r="A26" t="s">
        <v>18</v>
      </c>
      <c r="B26" s="1">
        <v>46027</v>
      </c>
      <c r="C26" s="2">
        <v>7115.14</v>
      </c>
      <c r="D26" t="s">
        <v>7</v>
      </c>
    </row>
    <row r="27" spans="1:4" x14ac:dyDescent="0.3">
      <c r="A27" t="s">
        <v>6</v>
      </c>
      <c r="B27" s="1">
        <v>46074</v>
      </c>
      <c r="C27" s="2">
        <v>1350.62</v>
      </c>
      <c r="D27" t="s">
        <v>15</v>
      </c>
    </row>
    <row r="28" spans="1:4" x14ac:dyDescent="0.3">
      <c r="A28" t="s">
        <v>18</v>
      </c>
      <c r="B28" s="1"/>
      <c r="C28" s="2">
        <v>300.83</v>
      </c>
      <c r="D28" t="s">
        <v>9</v>
      </c>
    </row>
    <row r="29" spans="1:4" x14ac:dyDescent="0.3">
      <c r="A29" t="s">
        <v>6</v>
      </c>
      <c r="B29" s="1">
        <v>46045</v>
      </c>
      <c r="C29" s="2">
        <v>68.489999999999995</v>
      </c>
      <c r="D29" t="s">
        <v>11</v>
      </c>
    </row>
    <row r="30" spans="1:4" x14ac:dyDescent="0.3">
      <c r="A30" t="s">
        <v>6</v>
      </c>
      <c r="B30" s="1">
        <v>46081</v>
      </c>
      <c r="C30" s="2">
        <v>176.75</v>
      </c>
      <c r="D30" t="s">
        <v>8</v>
      </c>
    </row>
    <row r="31" spans="1:4" x14ac:dyDescent="0.3">
      <c r="A31" t="s">
        <v>6</v>
      </c>
      <c r="B31" s="1">
        <v>46023</v>
      </c>
      <c r="C31" s="2">
        <v>165.59</v>
      </c>
      <c r="D31" t="s">
        <v>8</v>
      </c>
    </row>
    <row r="32" spans="1:4" x14ac:dyDescent="0.3">
      <c r="A32" t="s">
        <v>6</v>
      </c>
      <c r="B32" s="1">
        <v>46037</v>
      </c>
      <c r="C32" s="2">
        <v>197.32</v>
      </c>
      <c r="D32" t="s">
        <v>13</v>
      </c>
    </row>
    <row r="33" spans="1:4" x14ac:dyDescent="0.3">
      <c r="A33" t="s">
        <v>18</v>
      </c>
      <c r="B33" s="1">
        <v>46054</v>
      </c>
      <c r="C33" s="2">
        <v>1871.19</v>
      </c>
      <c r="D33" t="s">
        <v>15</v>
      </c>
    </row>
    <row r="34" spans="1:4" x14ac:dyDescent="0.3">
      <c r="A34" t="s">
        <v>6</v>
      </c>
      <c r="B34" s="1">
        <v>46077</v>
      </c>
      <c r="C34" s="2">
        <v>1342.05</v>
      </c>
      <c r="D34" t="s">
        <v>12</v>
      </c>
    </row>
    <row r="35" spans="1:4" x14ac:dyDescent="0.3">
      <c r="A35" t="s">
        <v>17</v>
      </c>
      <c r="B35" s="1">
        <v>46058</v>
      </c>
      <c r="C35" s="2">
        <v>5696.07</v>
      </c>
      <c r="D35" t="s">
        <v>7</v>
      </c>
    </row>
    <row r="36" spans="1:4" x14ac:dyDescent="0.3">
      <c r="A36" t="s">
        <v>18</v>
      </c>
      <c r="B36" s="1">
        <v>46086</v>
      </c>
      <c r="C36" s="2">
        <v>180.03</v>
      </c>
      <c r="D36" t="s">
        <v>10</v>
      </c>
    </row>
    <row r="37" spans="1:4" x14ac:dyDescent="0.3">
      <c r="A37" t="s">
        <v>6</v>
      </c>
      <c r="B37" s="1">
        <v>46062</v>
      </c>
      <c r="C37" s="2">
        <v>84.91</v>
      </c>
      <c r="D37" t="s">
        <v>13</v>
      </c>
    </row>
    <row r="38" spans="1:4" x14ac:dyDescent="0.3">
      <c r="A38" t="s">
        <v>18</v>
      </c>
      <c r="B38" s="1">
        <v>46084</v>
      </c>
      <c r="C38" s="2">
        <v>1464.12</v>
      </c>
      <c r="D38" t="s">
        <v>12</v>
      </c>
    </row>
    <row r="39" spans="1:4" x14ac:dyDescent="0.3">
      <c r="A39" t="s">
        <v>18</v>
      </c>
      <c r="B39" s="1">
        <v>46081</v>
      </c>
      <c r="C39" s="2">
        <v>445.63</v>
      </c>
      <c r="D39" t="s">
        <v>14</v>
      </c>
    </row>
    <row r="40" spans="1:4" x14ac:dyDescent="0.3">
      <c r="A40" t="s">
        <v>17</v>
      </c>
      <c r="B40" s="1">
        <v>46106</v>
      </c>
      <c r="C40" s="2">
        <v>971.86</v>
      </c>
      <c r="D40" t="s">
        <v>14</v>
      </c>
    </row>
    <row r="41" spans="1:4" x14ac:dyDescent="0.3">
      <c r="A41" t="s">
        <v>17</v>
      </c>
      <c r="B41" s="1">
        <v>46059</v>
      </c>
      <c r="C41" s="2">
        <v>1157.28</v>
      </c>
      <c r="D41" t="s">
        <v>12</v>
      </c>
    </row>
    <row r="42" spans="1:4" x14ac:dyDescent="0.3">
      <c r="A42" t="s">
        <v>18</v>
      </c>
      <c r="B42" s="1">
        <v>46061</v>
      </c>
      <c r="C42" s="2">
        <v>76.38</v>
      </c>
      <c r="D42" t="s">
        <v>10</v>
      </c>
    </row>
    <row r="43" spans="1:4" x14ac:dyDescent="0.3">
      <c r="A43" t="s">
        <v>18</v>
      </c>
      <c r="B43" s="1">
        <v>46081</v>
      </c>
      <c r="C43" s="2">
        <v>79.3</v>
      </c>
      <c r="D43" t="s">
        <v>11</v>
      </c>
    </row>
    <row r="44" spans="1:4" x14ac:dyDescent="0.3">
      <c r="A44" t="s">
        <v>17</v>
      </c>
      <c r="B44" s="1">
        <v>46050</v>
      </c>
      <c r="C44" s="2">
        <v>583.66</v>
      </c>
      <c r="D44" t="s">
        <v>14</v>
      </c>
    </row>
    <row r="45" spans="1:4" x14ac:dyDescent="0.3">
      <c r="A45" t="s">
        <v>17</v>
      </c>
      <c r="B45" s="1">
        <v>46065</v>
      </c>
      <c r="C45" s="2">
        <v>716.6</v>
      </c>
      <c r="D45" t="s">
        <v>8</v>
      </c>
    </row>
    <row r="46" spans="1:4" x14ac:dyDescent="0.3">
      <c r="A46" t="s">
        <v>6</v>
      </c>
      <c r="B46" s="1"/>
      <c r="C46" s="2">
        <v>165.59</v>
      </c>
      <c r="D46" t="s">
        <v>8</v>
      </c>
    </row>
    <row r="47" spans="1:4" x14ac:dyDescent="0.3">
      <c r="A47" t="s">
        <v>18</v>
      </c>
      <c r="B47" s="1">
        <v>46055</v>
      </c>
      <c r="C47" s="2">
        <v>300.83</v>
      </c>
      <c r="D47" t="s">
        <v>9</v>
      </c>
    </row>
    <row r="48" spans="1:4" x14ac:dyDescent="0.3">
      <c r="A48" t="s">
        <v>17</v>
      </c>
      <c r="B48" s="1">
        <v>46029</v>
      </c>
      <c r="C48" s="2">
        <v>1796.98</v>
      </c>
      <c r="D48" t="s">
        <v>12</v>
      </c>
    </row>
    <row r="49" spans="1:4" x14ac:dyDescent="0.3">
      <c r="A49" t="s">
        <v>18</v>
      </c>
      <c r="B49" s="1">
        <v>46058</v>
      </c>
      <c r="C49" s="2">
        <v>345.23</v>
      </c>
      <c r="D49" t="s">
        <v>16</v>
      </c>
    </row>
    <row r="50" spans="1:4" x14ac:dyDescent="0.3">
      <c r="A50" t="s">
        <v>18</v>
      </c>
      <c r="B50" s="1">
        <v>46111</v>
      </c>
      <c r="C50" s="2">
        <v>227.31</v>
      </c>
      <c r="D50" t="s">
        <v>9</v>
      </c>
    </row>
    <row r="51" spans="1:4" x14ac:dyDescent="0.3">
      <c r="A51" t="s">
        <v>18</v>
      </c>
      <c r="B51" s="1">
        <v>46096</v>
      </c>
      <c r="C51" s="2">
        <v>743.68</v>
      </c>
      <c r="D51" t="s">
        <v>8</v>
      </c>
    </row>
    <row r="52" spans="1:4" x14ac:dyDescent="0.3">
      <c r="A52" t="s">
        <v>6</v>
      </c>
      <c r="B52" s="1">
        <v>46088</v>
      </c>
      <c r="C52" s="2">
        <v>228.24</v>
      </c>
      <c r="D52" t="s">
        <v>13</v>
      </c>
    </row>
    <row r="53" spans="1:4" x14ac:dyDescent="0.3">
      <c r="A53" t="s">
        <v>6</v>
      </c>
      <c r="B53" s="1">
        <v>46086</v>
      </c>
      <c r="C53" s="2">
        <v>7110.34</v>
      </c>
      <c r="D53" t="s">
        <v>7</v>
      </c>
    </row>
    <row r="54" spans="1:4" x14ac:dyDescent="0.3">
      <c r="A54" t="s">
        <v>6</v>
      </c>
      <c r="B54" s="1">
        <v>46030</v>
      </c>
      <c r="C54" s="2"/>
      <c r="D54" t="s">
        <v>9</v>
      </c>
    </row>
    <row r="55" spans="1:4" x14ac:dyDescent="0.3">
      <c r="A55" t="s">
        <v>18</v>
      </c>
      <c r="B55" s="1">
        <v>46048</v>
      </c>
      <c r="C55" s="2">
        <v>184.61</v>
      </c>
      <c r="D55" t="s">
        <v>13</v>
      </c>
    </row>
    <row r="56" spans="1:4" x14ac:dyDescent="0.3">
      <c r="A56" t="s">
        <v>18</v>
      </c>
      <c r="B56" s="1">
        <v>46086</v>
      </c>
      <c r="C56" s="2">
        <v>7091.8</v>
      </c>
      <c r="D56" t="s">
        <v>7</v>
      </c>
    </row>
    <row r="57" spans="1:4" x14ac:dyDescent="0.3">
      <c r="A57" t="s">
        <v>18</v>
      </c>
      <c r="B57" s="1">
        <v>46023</v>
      </c>
      <c r="C57" s="2">
        <v>1423.9</v>
      </c>
      <c r="D57" t="s">
        <v>15</v>
      </c>
    </row>
    <row r="58" spans="1:4" x14ac:dyDescent="0.3">
      <c r="A58" t="s">
        <v>18</v>
      </c>
      <c r="B58" s="1">
        <v>46034</v>
      </c>
      <c r="C58" s="2">
        <v>401.91</v>
      </c>
      <c r="D58" t="s">
        <v>8</v>
      </c>
    </row>
    <row r="59" spans="1:4" x14ac:dyDescent="0.3">
      <c r="A59" t="s">
        <v>17</v>
      </c>
      <c r="B59" s="1">
        <v>46040</v>
      </c>
      <c r="C59" s="2">
        <v>426.21</v>
      </c>
      <c r="D59" t="s">
        <v>9</v>
      </c>
    </row>
    <row r="60" spans="1:4" x14ac:dyDescent="0.3">
      <c r="A60" t="s">
        <v>17</v>
      </c>
      <c r="B60" s="1">
        <v>46037</v>
      </c>
      <c r="C60" s="2">
        <v>665.62</v>
      </c>
      <c r="D60" t="s">
        <v>8</v>
      </c>
    </row>
    <row r="61" spans="1:4" x14ac:dyDescent="0.3">
      <c r="A61" t="s">
        <v>6</v>
      </c>
      <c r="B61" s="1">
        <v>46062</v>
      </c>
      <c r="C61" s="2">
        <v>162.05000000000001</v>
      </c>
      <c r="D61" t="s">
        <v>10</v>
      </c>
    </row>
    <row r="62" spans="1:4" x14ac:dyDescent="0.3">
      <c r="B62" s="1">
        <v>46071</v>
      </c>
      <c r="C62" s="2">
        <v>555.79</v>
      </c>
      <c r="D62" t="s">
        <v>14</v>
      </c>
    </row>
    <row r="63" spans="1:4" x14ac:dyDescent="0.3">
      <c r="A63" t="s">
        <v>6</v>
      </c>
      <c r="B63" s="1">
        <v>46102</v>
      </c>
      <c r="C63" s="2">
        <v>43.61</v>
      </c>
      <c r="D63" t="s">
        <v>11</v>
      </c>
    </row>
    <row r="64" spans="1:4" x14ac:dyDescent="0.3">
      <c r="A64" t="s">
        <v>6</v>
      </c>
      <c r="B64" s="1">
        <v>46030</v>
      </c>
      <c r="C64" s="2">
        <v>277.41000000000003</v>
      </c>
      <c r="D64" t="s">
        <v>9</v>
      </c>
    </row>
    <row r="65" spans="1:4" x14ac:dyDescent="0.3">
      <c r="A65" t="s">
        <v>6</v>
      </c>
      <c r="B65" s="1">
        <v>46088</v>
      </c>
      <c r="C65" s="2">
        <v>1914.7</v>
      </c>
      <c r="D65" t="s">
        <v>15</v>
      </c>
    </row>
    <row r="66" spans="1:4" x14ac:dyDescent="0.3">
      <c r="A66" t="s">
        <v>18</v>
      </c>
      <c r="B66" s="1">
        <v>46044</v>
      </c>
      <c r="C66" s="2">
        <v>177.2</v>
      </c>
      <c r="D66" t="s">
        <v>10</v>
      </c>
    </row>
    <row r="67" spans="1:4" x14ac:dyDescent="0.3">
      <c r="A67" t="s">
        <v>17</v>
      </c>
      <c r="B67" s="1">
        <v>46110</v>
      </c>
      <c r="C67" s="2">
        <v>388.61</v>
      </c>
      <c r="D67" t="s">
        <v>8</v>
      </c>
    </row>
    <row r="68" spans="1:4" x14ac:dyDescent="0.3">
      <c r="A68" t="s">
        <v>18</v>
      </c>
      <c r="B68" s="1">
        <v>46094</v>
      </c>
      <c r="C68" s="2">
        <v>131.84</v>
      </c>
      <c r="D68" t="s">
        <v>13</v>
      </c>
    </row>
    <row r="69" spans="1:4" x14ac:dyDescent="0.3">
      <c r="A69" t="s">
        <v>17</v>
      </c>
      <c r="B69" s="1">
        <v>46079</v>
      </c>
      <c r="C69" s="2">
        <v>1584.77</v>
      </c>
      <c r="D69" t="s">
        <v>15</v>
      </c>
    </row>
    <row r="70" spans="1:4" x14ac:dyDescent="0.3">
      <c r="A70" t="s">
        <v>17</v>
      </c>
      <c r="B70" s="1">
        <v>46062</v>
      </c>
      <c r="C70" s="2">
        <v>83.11</v>
      </c>
    </row>
    <row r="71" spans="1:4" x14ac:dyDescent="0.3">
      <c r="A71" t="s">
        <v>18</v>
      </c>
      <c r="B71" s="1">
        <v>46057</v>
      </c>
      <c r="C71" s="2">
        <v>244.61</v>
      </c>
      <c r="D71" t="s">
        <v>13</v>
      </c>
    </row>
    <row r="72" spans="1:4" x14ac:dyDescent="0.3">
      <c r="A72" t="s">
        <v>17</v>
      </c>
      <c r="B72" s="1">
        <v>46073</v>
      </c>
      <c r="C72" s="2">
        <v>197.58</v>
      </c>
      <c r="D72" t="s">
        <v>10</v>
      </c>
    </row>
    <row r="73" spans="1:4" x14ac:dyDescent="0.3">
      <c r="A73" t="s">
        <v>6</v>
      </c>
      <c r="B73" s="1">
        <v>46106</v>
      </c>
      <c r="C73" s="2">
        <v>1594.9</v>
      </c>
      <c r="D73" t="s">
        <v>12</v>
      </c>
    </row>
    <row r="74" spans="1:4" x14ac:dyDescent="0.3">
      <c r="A74" t="s">
        <v>17</v>
      </c>
      <c r="B74" s="1">
        <v>46024</v>
      </c>
      <c r="C74" s="2">
        <v>147.82</v>
      </c>
      <c r="D74" t="s">
        <v>10</v>
      </c>
    </row>
    <row r="75" spans="1:4" x14ac:dyDescent="0.3">
      <c r="A75" t="s">
        <v>17</v>
      </c>
      <c r="B75" s="1">
        <v>46054</v>
      </c>
      <c r="C75" s="2">
        <v>70.11</v>
      </c>
      <c r="D75" t="s">
        <v>11</v>
      </c>
    </row>
    <row r="76" spans="1:4" x14ac:dyDescent="0.3">
      <c r="A76" t="s">
        <v>17</v>
      </c>
      <c r="B76" s="1">
        <v>46111</v>
      </c>
      <c r="C76" s="2">
        <v>93.69</v>
      </c>
      <c r="D76" t="s">
        <v>11</v>
      </c>
    </row>
    <row r="77" spans="1:4" x14ac:dyDescent="0.3">
      <c r="A77" t="s">
        <v>6</v>
      </c>
      <c r="B77" s="1">
        <v>46040</v>
      </c>
      <c r="C77" s="2">
        <v>1129.28</v>
      </c>
      <c r="D77" t="s">
        <v>12</v>
      </c>
    </row>
    <row r="78" spans="1:4" x14ac:dyDescent="0.3">
      <c r="A78" t="s">
        <v>18</v>
      </c>
      <c r="B78" s="1">
        <v>46024</v>
      </c>
      <c r="C78" s="2">
        <v>73.790000000000006</v>
      </c>
      <c r="D78" t="s">
        <v>11</v>
      </c>
    </row>
    <row r="79" spans="1:4" x14ac:dyDescent="0.3">
      <c r="A79" t="s">
        <v>17</v>
      </c>
      <c r="B79" s="1">
        <v>46086</v>
      </c>
      <c r="C79" s="2">
        <v>5748.28</v>
      </c>
      <c r="D79" t="s">
        <v>7</v>
      </c>
    </row>
    <row r="80" spans="1:4" x14ac:dyDescent="0.3">
      <c r="A80" t="s">
        <v>17</v>
      </c>
      <c r="B80" s="1">
        <v>46025</v>
      </c>
      <c r="C80" s="2">
        <v>1911.64</v>
      </c>
      <c r="D80" t="s">
        <v>15</v>
      </c>
    </row>
    <row r="81" spans="1:4" x14ac:dyDescent="0.3">
      <c r="A81" t="s">
        <v>17</v>
      </c>
      <c r="B81" s="1">
        <v>46051</v>
      </c>
      <c r="C81" s="2">
        <v>15.28</v>
      </c>
      <c r="D81" t="s">
        <v>11</v>
      </c>
    </row>
    <row r="82" spans="1:4" x14ac:dyDescent="0.3">
      <c r="A82" t="s">
        <v>6</v>
      </c>
      <c r="B82" s="1">
        <v>46048</v>
      </c>
      <c r="C82" s="2">
        <v>1343.16</v>
      </c>
      <c r="D82" t="s">
        <v>14</v>
      </c>
    </row>
    <row r="83" spans="1:4" x14ac:dyDescent="0.3">
      <c r="A83" t="s">
        <v>17</v>
      </c>
      <c r="B83" s="1">
        <v>46058</v>
      </c>
      <c r="C83" s="2">
        <v>5696.07</v>
      </c>
      <c r="D83" t="s">
        <v>7</v>
      </c>
    </row>
    <row r="84" spans="1:4" x14ac:dyDescent="0.3">
      <c r="A84" t="s">
        <v>6</v>
      </c>
      <c r="B84" s="1">
        <v>46058</v>
      </c>
      <c r="C84" s="2">
        <v>279.29000000000002</v>
      </c>
      <c r="D84" t="s">
        <v>9</v>
      </c>
    </row>
    <row r="85" spans="1:4" x14ac:dyDescent="0.3">
      <c r="A85" t="s">
        <v>17</v>
      </c>
      <c r="B85" s="1">
        <v>46061</v>
      </c>
      <c r="C85" s="2">
        <v>216.29</v>
      </c>
      <c r="D85" t="s">
        <v>9</v>
      </c>
    </row>
    <row r="86" spans="1:4" x14ac:dyDescent="0.3">
      <c r="A86" t="s">
        <v>17</v>
      </c>
      <c r="B86" s="1">
        <v>46036</v>
      </c>
      <c r="C86" s="2">
        <v>171.41</v>
      </c>
      <c r="D86" t="s">
        <v>13</v>
      </c>
    </row>
    <row r="87" spans="1:4" x14ac:dyDescent="0.3">
      <c r="A87" t="s">
        <v>17</v>
      </c>
      <c r="B87" s="1">
        <v>46107</v>
      </c>
      <c r="C87" s="2">
        <v>171.62</v>
      </c>
      <c r="D87" t="s">
        <v>10</v>
      </c>
    </row>
    <row r="88" spans="1:4" x14ac:dyDescent="0.3">
      <c r="A88" t="s">
        <v>6</v>
      </c>
      <c r="B88" s="1">
        <v>46047</v>
      </c>
      <c r="C88" s="2">
        <v>1766.98</v>
      </c>
      <c r="D88" t="s">
        <v>15</v>
      </c>
    </row>
    <row r="89" spans="1:4" x14ac:dyDescent="0.3">
      <c r="A89" t="s">
        <v>18</v>
      </c>
      <c r="B89" s="1">
        <v>46053</v>
      </c>
      <c r="C89" s="2">
        <v>1097.0899999999999</v>
      </c>
      <c r="D89" t="s">
        <v>14</v>
      </c>
    </row>
    <row r="90" spans="1:4" x14ac:dyDescent="0.3">
      <c r="A90" t="s">
        <v>18</v>
      </c>
      <c r="B90" s="1">
        <v>46046</v>
      </c>
      <c r="C90" s="2">
        <v>473.12</v>
      </c>
      <c r="D90" t="s">
        <v>16</v>
      </c>
    </row>
    <row r="91" spans="1:4" x14ac:dyDescent="0.3">
      <c r="B91" s="1">
        <v>46023</v>
      </c>
      <c r="C91" s="2">
        <v>134.19</v>
      </c>
      <c r="D91" t="s">
        <v>10</v>
      </c>
    </row>
    <row r="92" spans="1:4" x14ac:dyDescent="0.3">
      <c r="A92" t="s">
        <v>18</v>
      </c>
      <c r="B92" s="1">
        <v>46033</v>
      </c>
      <c r="C92" s="2">
        <v>330.42</v>
      </c>
      <c r="D92" t="s">
        <v>9</v>
      </c>
    </row>
    <row r="93" spans="1:4" x14ac:dyDescent="0.3">
      <c r="A93" t="s">
        <v>17</v>
      </c>
      <c r="B93" s="1">
        <v>46071</v>
      </c>
      <c r="C93" s="2">
        <v>555.79</v>
      </c>
      <c r="D93" t="s">
        <v>14</v>
      </c>
    </row>
    <row r="94" spans="1:4" x14ac:dyDescent="0.3">
      <c r="A94" t="s">
        <v>17</v>
      </c>
      <c r="B94" s="1">
        <v>46087</v>
      </c>
      <c r="C94" s="2">
        <v>234.14</v>
      </c>
      <c r="D94" t="s">
        <v>13</v>
      </c>
    </row>
    <row r="95" spans="1:4" x14ac:dyDescent="0.3">
      <c r="A95" t="s">
        <v>17</v>
      </c>
      <c r="B95" s="1">
        <v>46071</v>
      </c>
      <c r="C95" s="2">
        <v>366.59</v>
      </c>
      <c r="D95" t="s">
        <v>16</v>
      </c>
    </row>
    <row r="96" spans="1:4" x14ac:dyDescent="0.3">
      <c r="A96" t="s">
        <v>18</v>
      </c>
      <c r="B96" s="1">
        <v>46087</v>
      </c>
      <c r="C96" s="2">
        <v>860.34</v>
      </c>
      <c r="D96" t="s">
        <v>15</v>
      </c>
    </row>
    <row r="97" spans="1:4" x14ac:dyDescent="0.3">
      <c r="A97" t="s">
        <v>6</v>
      </c>
      <c r="B97" s="1">
        <v>46045</v>
      </c>
      <c r="C97" s="2">
        <v>240.18</v>
      </c>
      <c r="D97" t="s">
        <v>16</v>
      </c>
    </row>
    <row r="98" spans="1:4" x14ac:dyDescent="0.3">
      <c r="A98" t="s">
        <v>17</v>
      </c>
      <c r="B98" s="1">
        <v>46101</v>
      </c>
      <c r="C98" s="2">
        <v>387.26</v>
      </c>
      <c r="D98" t="s">
        <v>16</v>
      </c>
    </row>
    <row r="99" spans="1:4" x14ac:dyDescent="0.3">
      <c r="A99" t="s">
        <v>17</v>
      </c>
      <c r="B99" s="1">
        <v>46027</v>
      </c>
      <c r="C99" s="2">
        <v>5644.3</v>
      </c>
      <c r="D99" t="s">
        <v>7</v>
      </c>
    </row>
    <row r="100" spans="1:4" x14ac:dyDescent="0.3">
      <c r="A100" t="s">
        <v>18</v>
      </c>
      <c r="B100" s="1">
        <v>46058</v>
      </c>
      <c r="C100" s="2">
        <v>1702.12</v>
      </c>
      <c r="D100" t="s">
        <v>12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88645-EE5C-4B47-86A0-A3A5FE555C6C}">
  <dimension ref="A1:D144"/>
  <sheetViews>
    <sheetView workbookViewId="0">
      <selection activeCell="N142" sqref="N142"/>
    </sheetView>
  </sheetViews>
  <sheetFormatPr defaultRowHeight="14.4" x14ac:dyDescent="0.3"/>
  <cols>
    <col min="1" max="3" width="11.21875" customWidth="1"/>
    <col min="4" max="4" width="20.88671875" customWidth="1"/>
  </cols>
  <sheetData>
    <row r="1" spans="1:4" ht="22.05" customHeight="1" x14ac:dyDescent="0.3">
      <c r="A1" s="3" t="s">
        <v>1</v>
      </c>
      <c r="B1" s="3" t="s">
        <v>2</v>
      </c>
      <c r="C1" s="3" t="s">
        <v>3</v>
      </c>
      <c r="D1" s="3" t="s">
        <v>4</v>
      </c>
    </row>
    <row r="2" spans="1:4" x14ac:dyDescent="0.3">
      <c r="A2" t="s">
        <v>17</v>
      </c>
      <c r="B2" s="1">
        <v>46080</v>
      </c>
      <c r="C2" s="2">
        <v>238.34</v>
      </c>
      <c r="D2" t="s">
        <v>38</v>
      </c>
    </row>
    <row r="3" spans="1:4" x14ac:dyDescent="0.3">
      <c r="A3" t="s">
        <v>17</v>
      </c>
      <c r="B3" s="1">
        <v>46041</v>
      </c>
      <c r="C3" s="2">
        <v>285.25</v>
      </c>
      <c r="D3" t="s">
        <v>35</v>
      </c>
    </row>
    <row r="4" spans="1:4" x14ac:dyDescent="0.3">
      <c r="A4" t="s">
        <v>6</v>
      </c>
      <c r="B4" s="1">
        <v>46058</v>
      </c>
      <c r="C4" s="2">
        <v>243.48</v>
      </c>
      <c r="D4" t="s">
        <v>27</v>
      </c>
    </row>
    <row r="5" spans="1:4" x14ac:dyDescent="0.3">
      <c r="A5" t="s">
        <v>6</v>
      </c>
      <c r="B5" s="1">
        <v>46034</v>
      </c>
      <c r="C5" s="2">
        <v>57.65</v>
      </c>
      <c r="D5" t="s">
        <v>26</v>
      </c>
    </row>
    <row r="6" spans="1:4" x14ac:dyDescent="0.3">
      <c r="A6" t="s">
        <v>6</v>
      </c>
      <c r="B6" s="1">
        <v>46037</v>
      </c>
      <c r="C6" s="2">
        <v>208.92</v>
      </c>
      <c r="D6" t="s">
        <v>25</v>
      </c>
    </row>
    <row r="7" spans="1:4" x14ac:dyDescent="0.3">
      <c r="A7" t="s">
        <v>18</v>
      </c>
      <c r="B7" s="1">
        <v>46048</v>
      </c>
      <c r="C7" s="2">
        <v>99.78</v>
      </c>
      <c r="D7" t="s">
        <v>28</v>
      </c>
    </row>
    <row r="8" spans="1:4" x14ac:dyDescent="0.3">
      <c r="A8" t="s">
        <v>17</v>
      </c>
      <c r="B8" s="1">
        <v>46054</v>
      </c>
      <c r="C8" s="2">
        <v>115.11</v>
      </c>
      <c r="D8" t="s">
        <v>20</v>
      </c>
    </row>
    <row r="9" spans="1:4" x14ac:dyDescent="0.3">
      <c r="A9" t="s">
        <v>18</v>
      </c>
      <c r="B9" s="1">
        <v>46037</v>
      </c>
      <c r="C9" s="2">
        <v>66.09</v>
      </c>
      <c r="D9" t="s">
        <v>20</v>
      </c>
    </row>
    <row r="10" spans="1:4" x14ac:dyDescent="0.3">
      <c r="A10" t="s">
        <v>18</v>
      </c>
      <c r="B10" s="1">
        <v>46091</v>
      </c>
      <c r="C10" s="2">
        <v>127.89</v>
      </c>
      <c r="D10" t="s">
        <v>30</v>
      </c>
    </row>
    <row r="11" spans="1:4" x14ac:dyDescent="0.3">
      <c r="A11" t="s">
        <v>6</v>
      </c>
      <c r="B11" s="1">
        <v>46034</v>
      </c>
      <c r="C11" s="2">
        <v>102.38</v>
      </c>
      <c r="D11" t="s">
        <v>25</v>
      </c>
    </row>
    <row r="12" spans="1:4" x14ac:dyDescent="0.3">
      <c r="A12" t="s">
        <v>6</v>
      </c>
      <c r="B12" s="1">
        <v>46032</v>
      </c>
      <c r="C12" s="2">
        <v>48.18</v>
      </c>
      <c r="D12" t="s">
        <v>20</v>
      </c>
    </row>
    <row r="13" spans="1:4" x14ac:dyDescent="0.3">
      <c r="A13" t="s">
        <v>18</v>
      </c>
      <c r="B13" s="1">
        <v>46096</v>
      </c>
      <c r="C13" s="2">
        <v>62.26</v>
      </c>
      <c r="D13" t="s">
        <v>20</v>
      </c>
    </row>
    <row r="14" spans="1:4" x14ac:dyDescent="0.3">
      <c r="A14" t="s">
        <v>17</v>
      </c>
      <c r="B14" s="1">
        <v>46037</v>
      </c>
      <c r="C14" s="2">
        <v>128.49</v>
      </c>
      <c r="D14" t="s">
        <v>21</v>
      </c>
    </row>
    <row r="15" spans="1:4" x14ac:dyDescent="0.3">
      <c r="A15" t="s">
        <v>17</v>
      </c>
      <c r="B15" s="1">
        <v>46091</v>
      </c>
      <c r="C15" s="2">
        <v>2173.58</v>
      </c>
      <c r="D15" t="s">
        <v>19</v>
      </c>
    </row>
    <row r="16" spans="1:4" x14ac:dyDescent="0.3">
      <c r="A16" t="s">
        <v>18</v>
      </c>
      <c r="B16" s="1"/>
      <c r="C16" s="2">
        <v>779.09</v>
      </c>
      <c r="D16" t="s">
        <v>23</v>
      </c>
    </row>
    <row r="17" spans="1:4" x14ac:dyDescent="0.3">
      <c r="A17" t="s">
        <v>6</v>
      </c>
      <c r="B17" s="1">
        <v>46049</v>
      </c>
      <c r="C17" s="2">
        <v>402.69</v>
      </c>
      <c r="D17" t="s">
        <v>32</v>
      </c>
    </row>
    <row r="18" spans="1:4" x14ac:dyDescent="0.3">
      <c r="A18" t="s">
        <v>6</v>
      </c>
      <c r="B18" s="1">
        <v>46032</v>
      </c>
      <c r="C18" s="2">
        <v>1233.22</v>
      </c>
      <c r="D18" t="s">
        <v>19</v>
      </c>
    </row>
    <row r="19" spans="1:4" x14ac:dyDescent="0.3">
      <c r="A19" t="s">
        <v>17</v>
      </c>
      <c r="B19" s="1">
        <v>46052</v>
      </c>
      <c r="C19" s="2">
        <v>430.38</v>
      </c>
      <c r="D19" t="s">
        <v>23</v>
      </c>
    </row>
    <row r="20" spans="1:4" x14ac:dyDescent="0.3">
      <c r="A20" t="s">
        <v>6</v>
      </c>
      <c r="B20" s="1">
        <v>46031</v>
      </c>
      <c r="C20" s="2">
        <v>325.45999999999998</v>
      </c>
      <c r="D20" t="s">
        <v>27</v>
      </c>
    </row>
    <row r="21" spans="1:4" x14ac:dyDescent="0.3">
      <c r="A21" t="s">
        <v>17</v>
      </c>
      <c r="B21" s="1">
        <v>46093</v>
      </c>
      <c r="C21" s="2">
        <v>94.9</v>
      </c>
      <c r="D21" t="s">
        <v>24</v>
      </c>
    </row>
    <row r="22" spans="1:4" x14ac:dyDescent="0.3">
      <c r="A22" t="s">
        <v>18</v>
      </c>
      <c r="B22" s="1">
        <v>46076</v>
      </c>
      <c r="C22" s="2">
        <v>51.37</v>
      </c>
      <c r="D22" t="s">
        <v>24</v>
      </c>
    </row>
    <row r="23" spans="1:4" x14ac:dyDescent="0.3">
      <c r="A23" t="s">
        <v>17</v>
      </c>
      <c r="B23" s="1">
        <v>46094</v>
      </c>
      <c r="C23" s="2">
        <v>319.88</v>
      </c>
      <c r="D23" t="s">
        <v>27</v>
      </c>
    </row>
    <row r="24" spans="1:4" x14ac:dyDescent="0.3">
      <c r="A24" t="s">
        <v>6</v>
      </c>
      <c r="B24" s="1">
        <v>46095</v>
      </c>
      <c r="C24" s="2">
        <v>99.89</v>
      </c>
      <c r="D24" t="s">
        <v>30</v>
      </c>
    </row>
    <row r="25" spans="1:4" x14ac:dyDescent="0.3">
      <c r="A25" t="s">
        <v>18</v>
      </c>
      <c r="B25" s="1">
        <v>46066</v>
      </c>
      <c r="C25" s="2">
        <v>175.09</v>
      </c>
      <c r="D25" t="s">
        <v>26</v>
      </c>
    </row>
    <row r="26" spans="1:4" x14ac:dyDescent="0.3">
      <c r="A26" t="s">
        <v>6</v>
      </c>
      <c r="B26" s="1">
        <v>46082</v>
      </c>
      <c r="C26" s="2">
        <v>96.03</v>
      </c>
      <c r="D26" t="s">
        <v>22</v>
      </c>
    </row>
    <row r="27" spans="1:4" x14ac:dyDescent="0.3">
      <c r="A27" t="s">
        <v>17</v>
      </c>
      <c r="B27" s="1">
        <v>46062</v>
      </c>
      <c r="C27" s="2">
        <v>90.4</v>
      </c>
      <c r="D27" t="s">
        <v>28</v>
      </c>
    </row>
    <row r="28" spans="1:4" x14ac:dyDescent="0.3">
      <c r="A28" t="s">
        <v>17</v>
      </c>
      <c r="B28" s="1">
        <v>46039</v>
      </c>
      <c r="C28" s="2">
        <v>43.62</v>
      </c>
      <c r="D28" t="s">
        <v>30</v>
      </c>
    </row>
    <row r="29" spans="1:4" x14ac:dyDescent="0.3">
      <c r="A29" t="s">
        <v>6</v>
      </c>
      <c r="B29" s="1">
        <v>46042</v>
      </c>
      <c r="C29" s="2">
        <v>137.94999999999999</v>
      </c>
      <c r="D29" t="s">
        <v>26</v>
      </c>
    </row>
    <row r="30" spans="1:4" x14ac:dyDescent="0.3">
      <c r="A30" t="s">
        <v>6</v>
      </c>
      <c r="B30" s="1">
        <v>46068</v>
      </c>
      <c r="C30" s="2">
        <v>117.04</v>
      </c>
      <c r="D30" t="s">
        <v>22</v>
      </c>
    </row>
    <row r="31" spans="1:4" x14ac:dyDescent="0.3">
      <c r="A31" t="s">
        <v>18</v>
      </c>
      <c r="B31" s="1">
        <v>46046</v>
      </c>
      <c r="C31" s="2">
        <v>192.42</v>
      </c>
      <c r="D31" t="s">
        <v>27</v>
      </c>
    </row>
    <row r="32" spans="1:4" x14ac:dyDescent="0.3">
      <c r="A32" t="s">
        <v>6</v>
      </c>
      <c r="B32" s="1">
        <v>46102</v>
      </c>
      <c r="C32" s="2">
        <v>149.21</v>
      </c>
      <c r="D32" t="s">
        <v>38</v>
      </c>
    </row>
    <row r="33" spans="1:4" x14ac:dyDescent="0.3">
      <c r="A33" t="s">
        <v>18</v>
      </c>
      <c r="B33" s="1">
        <v>46025</v>
      </c>
      <c r="C33" s="2">
        <v>177.7</v>
      </c>
      <c r="D33" t="s">
        <v>35</v>
      </c>
    </row>
    <row r="34" spans="1:4" x14ac:dyDescent="0.3">
      <c r="A34" t="s">
        <v>18</v>
      </c>
      <c r="B34" s="1">
        <v>46088</v>
      </c>
      <c r="C34" s="2">
        <v>122.8</v>
      </c>
      <c r="D34" t="s">
        <v>37</v>
      </c>
    </row>
    <row r="35" spans="1:4" x14ac:dyDescent="0.3">
      <c r="A35" t="s">
        <v>17</v>
      </c>
      <c r="B35" s="1">
        <v>46088</v>
      </c>
      <c r="C35" s="2">
        <v>149.62</v>
      </c>
      <c r="D35" t="s">
        <v>33</v>
      </c>
    </row>
    <row r="36" spans="1:4" x14ac:dyDescent="0.3">
      <c r="A36" t="s">
        <v>6</v>
      </c>
      <c r="B36" s="1">
        <v>46103</v>
      </c>
      <c r="C36" s="2">
        <v>141.09</v>
      </c>
      <c r="D36" t="s">
        <v>26</v>
      </c>
    </row>
    <row r="37" spans="1:4" x14ac:dyDescent="0.3">
      <c r="A37" t="s">
        <v>18</v>
      </c>
      <c r="B37" s="1">
        <v>46112</v>
      </c>
      <c r="C37" s="2">
        <v>193.31</v>
      </c>
      <c r="D37" t="s">
        <v>31</v>
      </c>
    </row>
    <row r="38" spans="1:4" x14ac:dyDescent="0.3">
      <c r="A38" t="s">
        <v>18</v>
      </c>
      <c r="B38" s="1">
        <v>46100</v>
      </c>
      <c r="C38" s="2">
        <v>476.49</v>
      </c>
      <c r="D38" t="s">
        <v>35</v>
      </c>
    </row>
    <row r="39" spans="1:4" x14ac:dyDescent="0.3">
      <c r="A39" t="s">
        <v>18</v>
      </c>
      <c r="B39" s="1">
        <v>46058</v>
      </c>
      <c r="C39" s="2">
        <v>311.93</v>
      </c>
      <c r="D39" t="s">
        <v>31</v>
      </c>
    </row>
    <row r="40" spans="1:4" x14ac:dyDescent="0.3">
      <c r="A40" t="s">
        <v>18</v>
      </c>
      <c r="B40" s="1">
        <v>46104</v>
      </c>
      <c r="C40" s="2">
        <v>257.64</v>
      </c>
      <c r="D40" t="s">
        <v>28</v>
      </c>
    </row>
    <row r="41" spans="1:4" x14ac:dyDescent="0.3">
      <c r="A41" t="s">
        <v>18</v>
      </c>
      <c r="B41" s="1">
        <v>46032</v>
      </c>
      <c r="C41" s="2">
        <v>1760.68</v>
      </c>
      <c r="D41" t="s">
        <v>19</v>
      </c>
    </row>
    <row r="42" spans="1:4" x14ac:dyDescent="0.3">
      <c r="A42" t="s">
        <v>6</v>
      </c>
      <c r="B42" s="1"/>
      <c r="C42" s="2">
        <v>46.04</v>
      </c>
      <c r="D42" t="s">
        <v>30</v>
      </c>
    </row>
    <row r="43" spans="1:4" x14ac:dyDescent="0.3">
      <c r="A43" t="s">
        <v>17</v>
      </c>
      <c r="B43" s="1">
        <v>46054</v>
      </c>
      <c r="C43" s="2">
        <v>131.97</v>
      </c>
      <c r="D43" t="s">
        <v>22</v>
      </c>
    </row>
    <row r="44" spans="1:4" x14ac:dyDescent="0.3">
      <c r="A44" t="s">
        <v>17</v>
      </c>
      <c r="B44" s="1">
        <v>46030</v>
      </c>
      <c r="C44" s="2">
        <v>589.46</v>
      </c>
      <c r="D44" t="s">
        <v>23</v>
      </c>
    </row>
    <row r="45" spans="1:4" x14ac:dyDescent="0.3">
      <c r="A45" t="s">
        <v>6</v>
      </c>
      <c r="B45" s="1">
        <v>46086</v>
      </c>
      <c r="C45" s="2">
        <v>87.08</v>
      </c>
      <c r="D45" t="s">
        <v>20</v>
      </c>
    </row>
    <row r="46" spans="1:4" x14ac:dyDescent="0.3">
      <c r="A46" t="s">
        <v>18</v>
      </c>
      <c r="B46" s="1">
        <v>46106</v>
      </c>
      <c r="C46" s="2">
        <v>254.83</v>
      </c>
      <c r="D46" t="s">
        <v>28</v>
      </c>
    </row>
    <row r="47" spans="1:4" x14ac:dyDescent="0.3">
      <c r="A47" t="s">
        <v>17</v>
      </c>
      <c r="B47" s="1">
        <v>46053</v>
      </c>
      <c r="C47" s="2">
        <v>140.13</v>
      </c>
      <c r="D47" t="s">
        <v>29</v>
      </c>
    </row>
    <row r="48" spans="1:4" x14ac:dyDescent="0.3">
      <c r="A48" t="s">
        <v>6</v>
      </c>
      <c r="B48" s="1">
        <v>46050</v>
      </c>
      <c r="C48" s="2">
        <v>416.4</v>
      </c>
      <c r="D48" t="s">
        <v>23</v>
      </c>
    </row>
    <row r="49" spans="1:4" x14ac:dyDescent="0.3">
      <c r="A49" t="s">
        <v>17</v>
      </c>
      <c r="B49" s="1">
        <v>46025</v>
      </c>
      <c r="C49" s="2">
        <v>151.28</v>
      </c>
      <c r="D49" t="s">
        <v>34</v>
      </c>
    </row>
    <row r="50" spans="1:4" x14ac:dyDescent="0.3">
      <c r="A50" t="s">
        <v>6</v>
      </c>
      <c r="B50" s="1">
        <v>46062</v>
      </c>
      <c r="C50" s="2">
        <v>292.97000000000003</v>
      </c>
      <c r="D50" t="s">
        <v>33</v>
      </c>
    </row>
    <row r="51" spans="1:4" x14ac:dyDescent="0.3">
      <c r="A51" t="s">
        <v>6</v>
      </c>
      <c r="B51" s="1">
        <v>46054</v>
      </c>
      <c r="C51" s="2">
        <v>59.95</v>
      </c>
      <c r="D51" t="s">
        <v>36</v>
      </c>
    </row>
    <row r="52" spans="1:4" x14ac:dyDescent="0.3">
      <c r="B52" s="1">
        <v>46091</v>
      </c>
      <c r="C52" s="2">
        <v>2173.58</v>
      </c>
      <c r="D52" t="s">
        <v>19</v>
      </c>
    </row>
    <row r="53" spans="1:4" x14ac:dyDescent="0.3">
      <c r="A53" t="s">
        <v>17</v>
      </c>
      <c r="B53" s="1">
        <v>46086</v>
      </c>
      <c r="C53" s="2">
        <v>125.36</v>
      </c>
    </row>
    <row r="54" spans="1:4" x14ac:dyDescent="0.3">
      <c r="A54" t="s">
        <v>18</v>
      </c>
      <c r="B54" s="1">
        <v>46096</v>
      </c>
      <c r="C54" s="2">
        <v>373.78</v>
      </c>
      <c r="D54" t="s">
        <v>32</v>
      </c>
    </row>
    <row r="55" spans="1:4" x14ac:dyDescent="0.3">
      <c r="A55" t="s">
        <v>6</v>
      </c>
      <c r="B55" s="1">
        <v>46040</v>
      </c>
      <c r="C55" s="2">
        <v>125.62</v>
      </c>
      <c r="D55" t="s">
        <v>29</v>
      </c>
    </row>
    <row r="56" spans="1:4" x14ac:dyDescent="0.3">
      <c r="A56" t="s">
        <v>18</v>
      </c>
      <c r="B56" s="1">
        <v>46068</v>
      </c>
      <c r="C56" s="2">
        <v>142.80000000000001</v>
      </c>
      <c r="D56" t="s">
        <v>22</v>
      </c>
    </row>
    <row r="57" spans="1:4" x14ac:dyDescent="0.3">
      <c r="A57" t="s">
        <v>17</v>
      </c>
      <c r="B57" s="1">
        <v>46063</v>
      </c>
      <c r="C57" s="2">
        <v>2397.63</v>
      </c>
      <c r="D57" t="s">
        <v>19</v>
      </c>
    </row>
    <row r="58" spans="1:4" x14ac:dyDescent="0.3">
      <c r="A58" t="s">
        <v>18</v>
      </c>
      <c r="B58" s="1">
        <v>46096</v>
      </c>
      <c r="C58" s="2">
        <v>122.89</v>
      </c>
      <c r="D58" t="s">
        <v>21</v>
      </c>
    </row>
    <row r="59" spans="1:4" x14ac:dyDescent="0.3">
      <c r="A59" t="s">
        <v>18</v>
      </c>
      <c r="B59" s="1">
        <v>46053</v>
      </c>
      <c r="C59" s="2">
        <v>67.56</v>
      </c>
      <c r="D59" t="s">
        <v>36</v>
      </c>
    </row>
    <row r="60" spans="1:4" x14ac:dyDescent="0.3">
      <c r="A60" t="s">
        <v>17</v>
      </c>
      <c r="B60" s="1">
        <v>46057</v>
      </c>
      <c r="C60" s="2">
        <v>42.79</v>
      </c>
      <c r="D60" t="s">
        <v>26</v>
      </c>
    </row>
    <row r="61" spans="1:4" x14ac:dyDescent="0.3">
      <c r="A61" t="s">
        <v>6</v>
      </c>
      <c r="B61" s="1">
        <v>46068</v>
      </c>
      <c r="C61" s="2">
        <v>144.88</v>
      </c>
      <c r="D61" t="s">
        <v>21</v>
      </c>
    </row>
    <row r="62" spans="1:4" x14ac:dyDescent="0.3">
      <c r="A62" t="s">
        <v>6</v>
      </c>
      <c r="B62" s="1">
        <v>46080</v>
      </c>
      <c r="C62" s="2">
        <v>167.15</v>
      </c>
      <c r="D62" t="s">
        <v>26</v>
      </c>
    </row>
    <row r="63" spans="1:4" x14ac:dyDescent="0.3">
      <c r="A63" t="s">
        <v>18</v>
      </c>
      <c r="B63" s="1">
        <v>46094</v>
      </c>
      <c r="C63" s="2">
        <v>382.44</v>
      </c>
      <c r="D63" t="s">
        <v>37</v>
      </c>
    </row>
    <row r="64" spans="1:4" x14ac:dyDescent="0.3">
      <c r="A64" t="s">
        <v>17</v>
      </c>
      <c r="B64" s="1">
        <v>46068</v>
      </c>
      <c r="C64" s="2">
        <v>287.92</v>
      </c>
      <c r="D64" t="s">
        <v>27</v>
      </c>
    </row>
    <row r="65" spans="1:4" x14ac:dyDescent="0.3">
      <c r="B65" s="1">
        <v>46103</v>
      </c>
      <c r="C65" s="2">
        <v>157.76</v>
      </c>
      <c r="D65" t="s">
        <v>28</v>
      </c>
    </row>
    <row r="66" spans="1:4" x14ac:dyDescent="0.3">
      <c r="A66" t="s">
        <v>17</v>
      </c>
      <c r="B66" s="1">
        <v>46024</v>
      </c>
      <c r="C66" s="2">
        <v>93.36</v>
      </c>
      <c r="D66" t="s">
        <v>24</v>
      </c>
    </row>
    <row r="67" spans="1:4" x14ac:dyDescent="0.3">
      <c r="A67" t="s">
        <v>18</v>
      </c>
      <c r="B67" s="1">
        <v>46051</v>
      </c>
      <c r="C67" s="2">
        <v>579.91999999999996</v>
      </c>
      <c r="D67" t="s">
        <v>38</v>
      </c>
    </row>
    <row r="68" spans="1:4" x14ac:dyDescent="0.3">
      <c r="A68" t="s">
        <v>18</v>
      </c>
      <c r="B68" s="1">
        <v>46111</v>
      </c>
      <c r="C68" s="2">
        <v>779.09</v>
      </c>
      <c r="D68" t="s">
        <v>23</v>
      </c>
    </row>
    <row r="69" spans="1:4" x14ac:dyDescent="0.3">
      <c r="A69" t="s">
        <v>17</v>
      </c>
      <c r="B69" s="1">
        <v>46058</v>
      </c>
      <c r="C69" s="2">
        <v>124.96</v>
      </c>
      <c r="D69" t="s">
        <v>21</v>
      </c>
    </row>
    <row r="70" spans="1:4" x14ac:dyDescent="0.3">
      <c r="A70" t="s">
        <v>17</v>
      </c>
      <c r="B70" s="1">
        <v>46037</v>
      </c>
      <c r="C70" s="2">
        <v>90.84</v>
      </c>
      <c r="D70" t="s">
        <v>22</v>
      </c>
    </row>
    <row r="71" spans="1:4" x14ac:dyDescent="0.3">
      <c r="A71" t="s">
        <v>18</v>
      </c>
      <c r="B71" s="1">
        <v>46069</v>
      </c>
      <c r="C71" s="2">
        <v>31</v>
      </c>
      <c r="D71" t="s">
        <v>30</v>
      </c>
    </row>
    <row r="72" spans="1:4" x14ac:dyDescent="0.3">
      <c r="A72" t="s">
        <v>18</v>
      </c>
      <c r="B72" s="1">
        <v>46037</v>
      </c>
      <c r="C72" s="2">
        <v>218.91</v>
      </c>
      <c r="D72" t="s">
        <v>28</v>
      </c>
    </row>
    <row r="73" spans="1:4" x14ac:dyDescent="0.3">
      <c r="A73" t="s">
        <v>17</v>
      </c>
      <c r="B73" s="1">
        <v>46058</v>
      </c>
      <c r="C73" s="2">
        <v>138.31</v>
      </c>
      <c r="D73" t="s">
        <v>30</v>
      </c>
    </row>
    <row r="74" spans="1:4" x14ac:dyDescent="0.3">
      <c r="A74" t="s">
        <v>17</v>
      </c>
      <c r="B74" s="1">
        <v>46067</v>
      </c>
      <c r="C74" s="2">
        <v>89.26</v>
      </c>
      <c r="D74" t="s">
        <v>24</v>
      </c>
    </row>
    <row r="75" spans="1:4" x14ac:dyDescent="0.3">
      <c r="A75" t="s">
        <v>6</v>
      </c>
      <c r="B75" s="1">
        <v>46059</v>
      </c>
      <c r="C75" s="2">
        <v>184.84</v>
      </c>
      <c r="D75" t="s">
        <v>28</v>
      </c>
    </row>
    <row r="76" spans="1:4" x14ac:dyDescent="0.3">
      <c r="A76" t="s">
        <v>18</v>
      </c>
      <c r="B76" s="1">
        <v>46068</v>
      </c>
      <c r="C76" s="2">
        <v>89.01</v>
      </c>
      <c r="D76" t="s">
        <v>20</v>
      </c>
    </row>
    <row r="77" spans="1:4" x14ac:dyDescent="0.3">
      <c r="A77" t="s">
        <v>18</v>
      </c>
      <c r="B77" s="1">
        <v>46096</v>
      </c>
      <c r="C77" s="2">
        <v>1490.27</v>
      </c>
      <c r="D77" t="s">
        <v>19</v>
      </c>
    </row>
    <row r="78" spans="1:4" x14ac:dyDescent="0.3">
      <c r="A78" t="s">
        <v>18</v>
      </c>
      <c r="B78" s="1">
        <v>46044</v>
      </c>
      <c r="C78" s="2">
        <v>616.47</v>
      </c>
      <c r="D78" t="s">
        <v>23</v>
      </c>
    </row>
    <row r="79" spans="1:4" x14ac:dyDescent="0.3">
      <c r="A79" t="s">
        <v>18</v>
      </c>
      <c r="B79" s="1">
        <v>46032</v>
      </c>
      <c r="C79" s="2">
        <v>174.25</v>
      </c>
      <c r="D79" t="s">
        <v>21</v>
      </c>
    </row>
    <row r="80" spans="1:4" x14ac:dyDescent="0.3">
      <c r="A80" t="s">
        <v>6</v>
      </c>
      <c r="B80" s="1">
        <v>46070</v>
      </c>
      <c r="C80" s="2">
        <v>324.04000000000002</v>
      </c>
      <c r="D80" t="s">
        <v>35</v>
      </c>
    </row>
    <row r="81" spans="1:4" ht="16.2" customHeight="1" x14ac:dyDescent="0.3">
      <c r="A81" t="s">
        <v>6</v>
      </c>
      <c r="B81" s="1">
        <v>46097</v>
      </c>
      <c r="C81" s="2">
        <v>110.75</v>
      </c>
      <c r="D81" t="s">
        <v>33</v>
      </c>
    </row>
    <row r="82" spans="1:4" x14ac:dyDescent="0.3">
      <c r="A82" t="s">
        <v>6</v>
      </c>
      <c r="B82" s="1">
        <v>46037</v>
      </c>
      <c r="C82" s="2">
        <v>96.44</v>
      </c>
      <c r="D82" t="s">
        <v>21</v>
      </c>
    </row>
    <row r="83" spans="1:4" x14ac:dyDescent="0.3">
      <c r="A83" t="s">
        <v>6</v>
      </c>
      <c r="B83" s="1">
        <v>46082</v>
      </c>
      <c r="C83" s="2">
        <v>1507.13</v>
      </c>
      <c r="D83" t="s">
        <v>19</v>
      </c>
    </row>
    <row r="84" spans="1:4" x14ac:dyDescent="0.3">
      <c r="A84" t="s">
        <v>17</v>
      </c>
      <c r="B84" s="1">
        <v>46108</v>
      </c>
      <c r="C84" s="2">
        <v>260.86</v>
      </c>
      <c r="D84" t="s">
        <v>31</v>
      </c>
    </row>
    <row r="85" spans="1:4" x14ac:dyDescent="0.3">
      <c r="A85" t="s">
        <v>18</v>
      </c>
      <c r="B85" s="1">
        <v>46033</v>
      </c>
      <c r="C85" s="2">
        <v>173.35</v>
      </c>
      <c r="D85" t="s">
        <v>27</v>
      </c>
    </row>
    <row r="86" spans="1:4" x14ac:dyDescent="0.3">
      <c r="A86" t="s">
        <v>17</v>
      </c>
      <c r="B86" s="1">
        <v>46076</v>
      </c>
      <c r="C86" s="2">
        <v>275.98</v>
      </c>
      <c r="D86" t="s">
        <v>33</v>
      </c>
    </row>
    <row r="87" spans="1:4" x14ac:dyDescent="0.3">
      <c r="A87" t="s">
        <v>18</v>
      </c>
      <c r="B87" s="1">
        <v>46067</v>
      </c>
      <c r="C87" s="2">
        <v>118.68</v>
      </c>
      <c r="D87" t="s">
        <v>31</v>
      </c>
    </row>
    <row r="88" spans="1:4" x14ac:dyDescent="0.3">
      <c r="A88" t="s">
        <v>18</v>
      </c>
      <c r="B88" s="1">
        <v>46106</v>
      </c>
      <c r="C88" s="2">
        <v>93.2</v>
      </c>
      <c r="D88" t="s">
        <v>29</v>
      </c>
    </row>
    <row r="89" spans="1:4" x14ac:dyDescent="0.3">
      <c r="A89" t="s">
        <v>17</v>
      </c>
      <c r="B89" s="1">
        <v>46037</v>
      </c>
      <c r="C89" s="2">
        <v>1003.23</v>
      </c>
      <c r="D89" t="s">
        <v>19</v>
      </c>
    </row>
    <row r="90" spans="1:4" x14ac:dyDescent="0.3">
      <c r="A90" t="s">
        <v>18</v>
      </c>
      <c r="B90" s="1">
        <v>46023</v>
      </c>
      <c r="C90" s="2">
        <v>53.23</v>
      </c>
      <c r="D90" t="s">
        <v>24</v>
      </c>
    </row>
    <row r="91" spans="1:4" x14ac:dyDescent="0.3">
      <c r="A91" t="s">
        <v>17</v>
      </c>
      <c r="B91" s="1">
        <v>46030</v>
      </c>
      <c r="C91" s="2">
        <v>501.89</v>
      </c>
      <c r="D91" t="s">
        <v>23</v>
      </c>
    </row>
    <row r="92" spans="1:4" x14ac:dyDescent="0.3">
      <c r="A92" t="s">
        <v>17</v>
      </c>
      <c r="B92" s="1">
        <v>46082</v>
      </c>
      <c r="C92" s="2">
        <v>106.78</v>
      </c>
      <c r="D92" t="s">
        <v>22</v>
      </c>
    </row>
    <row r="93" spans="1:4" x14ac:dyDescent="0.3">
      <c r="A93" t="s">
        <v>17</v>
      </c>
      <c r="B93" s="1">
        <v>46054</v>
      </c>
      <c r="C93" s="2">
        <v>100.03</v>
      </c>
      <c r="D93" t="s">
        <v>34</v>
      </c>
    </row>
    <row r="94" spans="1:4" x14ac:dyDescent="0.3">
      <c r="A94" t="s">
        <v>18</v>
      </c>
      <c r="B94" s="1">
        <v>46094</v>
      </c>
      <c r="C94" s="2"/>
      <c r="D94" t="s">
        <v>37</v>
      </c>
    </row>
    <row r="95" spans="1:4" x14ac:dyDescent="0.3">
      <c r="A95" t="s">
        <v>18</v>
      </c>
      <c r="B95" s="1">
        <v>46078</v>
      </c>
      <c r="C95" s="2">
        <v>129.29</v>
      </c>
      <c r="D95" t="s">
        <v>30</v>
      </c>
    </row>
    <row r="96" spans="1:4" x14ac:dyDescent="0.3">
      <c r="A96" t="s">
        <v>18</v>
      </c>
      <c r="B96" s="1">
        <v>46100</v>
      </c>
      <c r="C96" s="2">
        <v>90.78</v>
      </c>
      <c r="D96" t="s">
        <v>32</v>
      </c>
    </row>
    <row r="97" spans="1:4" x14ac:dyDescent="0.3">
      <c r="A97" t="s">
        <v>18</v>
      </c>
      <c r="B97" s="1">
        <v>46101</v>
      </c>
      <c r="C97" s="2">
        <v>201.81</v>
      </c>
      <c r="D97" t="s">
        <v>28</v>
      </c>
    </row>
    <row r="98" spans="1:4" x14ac:dyDescent="0.3">
      <c r="A98" t="s">
        <v>17</v>
      </c>
      <c r="B98" s="1">
        <v>46028</v>
      </c>
      <c r="C98" s="2">
        <v>334.26</v>
      </c>
      <c r="D98" t="s">
        <v>23</v>
      </c>
    </row>
    <row r="99" spans="1:4" x14ac:dyDescent="0.3">
      <c r="B99" s="1">
        <v>46091</v>
      </c>
      <c r="C99" s="2">
        <v>127.89</v>
      </c>
      <c r="D99" t="s">
        <v>30</v>
      </c>
    </row>
    <row r="100" spans="1:4" x14ac:dyDescent="0.3">
      <c r="A100" t="s">
        <v>6</v>
      </c>
      <c r="B100" s="1">
        <v>46078</v>
      </c>
      <c r="C100" s="2">
        <v>280.61</v>
      </c>
      <c r="D100" t="s">
        <v>25</v>
      </c>
    </row>
    <row r="101" spans="1:4" x14ac:dyDescent="0.3">
      <c r="A101" t="s">
        <v>6</v>
      </c>
      <c r="B101" s="1">
        <v>46030</v>
      </c>
      <c r="C101" s="2">
        <v>305.38</v>
      </c>
      <c r="D101" t="s">
        <v>31</v>
      </c>
    </row>
    <row r="102" spans="1:4" x14ac:dyDescent="0.3">
      <c r="A102" t="s">
        <v>6</v>
      </c>
      <c r="B102" s="1">
        <v>46097</v>
      </c>
      <c r="C102" s="2">
        <v>251.87</v>
      </c>
      <c r="D102" t="s">
        <v>25</v>
      </c>
    </row>
    <row r="103" spans="1:4" x14ac:dyDescent="0.3">
      <c r="A103" t="s">
        <v>6</v>
      </c>
      <c r="B103" s="1">
        <v>46109</v>
      </c>
      <c r="C103" s="2">
        <v>318.72000000000003</v>
      </c>
      <c r="D103" t="s">
        <v>37</v>
      </c>
    </row>
    <row r="104" spans="1:4" x14ac:dyDescent="0.3">
      <c r="A104" t="s">
        <v>6</v>
      </c>
      <c r="B104" s="1">
        <v>46043</v>
      </c>
      <c r="C104" s="2">
        <v>222.04</v>
      </c>
      <c r="D104" t="s">
        <v>28</v>
      </c>
    </row>
    <row r="105" spans="1:4" x14ac:dyDescent="0.3">
      <c r="A105" t="s">
        <v>17</v>
      </c>
      <c r="B105" s="1">
        <v>46110</v>
      </c>
      <c r="C105" s="2">
        <v>785.2</v>
      </c>
      <c r="D105" t="s">
        <v>23</v>
      </c>
    </row>
    <row r="106" spans="1:4" x14ac:dyDescent="0.3">
      <c r="A106" t="s">
        <v>6</v>
      </c>
      <c r="B106" s="1">
        <v>46057</v>
      </c>
      <c r="C106" s="2">
        <v>180.58</v>
      </c>
      <c r="D106" t="s">
        <v>34</v>
      </c>
    </row>
    <row r="107" spans="1:4" x14ac:dyDescent="0.3">
      <c r="A107" t="s">
        <v>6</v>
      </c>
      <c r="B107" s="1">
        <v>46031</v>
      </c>
      <c r="C107" s="2">
        <v>297.38</v>
      </c>
      <c r="D107" t="s">
        <v>25</v>
      </c>
    </row>
    <row r="108" spans="1:4" x14ac:dyDescent="0.3">
      <c r="A108" t="s">
        <v>18</v>
      </c>
      <c r="B108" s="1">
        <v>46056</v>
      </c>
      <c r="C108" s="2">
        <v>153.72</v>
      </c>
      <c r="D108" t="s">
        <v>33</v>
      </c>
    </row>
    <row r="109" spans="1:4" x14ac:dyDescent="0.3">
      <c r="A109" t="s">
        <v>17</v>
      </c>
      <c r="B109" s="1">
        <v>46090</v>
      </c>
      <c r="C109" s="2">
        <v>176.94</v>
      </c>
      <c r="D109" t="s">
        <v>30</v>
      </c>
    </row>
    <row r="110" spans="1:4" x14ac:dyDescent="0.3">
      <c r="A110" t="s">
        <v>17</v>
      </c>
      <c r="B110" s="1">
        <v>46096</v>
      </c>
      <c r="C110" s="2">
        <v>104.18</v>
      </c>
      <c r="D110" t="s">
        <v>20</v>
      </c>
    </row>
    <row r="111" spans="1:4" x14ac:dyDescent="0.3">
      <c r="A111" t="s">
        <v>18</v>
      </c>
      <c r="B111" s="1">
        <v>46065</v>
      </c>
      <c r="C111" s="2">
        <v>86.88</v>
      </c>
      <c r="D111" t="s">
        <v>29</v>
      </c>
    </row>
    <row r="112" spans="1:4" x14ac:dyDescent="0.3">
      <c r="A112" t="s">
        <v>6</v>
      </c>
      <c r="B112" s="1">
        <v>46088</v>
      </c>
      <c r="C112" s="2">
        <v>46.04</v>
      </c>
      <c r="D112" t="s">
        <v>30</v>
      </c>
    </row>
    <row r="113" spans="1:4" x14ac:dyDescent="0.3">
      <c r="A113" t="s">
        <v>6</v>
      </c>
      <c r="B113" s="1">
        <v>46069</v>
      </c>
      <c r="C113" s="2">
        <v>51.36</v>
      </c>
      <c r="D113" t="s">
        <v>24</v>
      </c>
    </row>
    <row r="114" spans="1:4" x14ac:dyDescent="0.3">
      <c r="A114" t="s">
        <v>18</v>
      </c>
      <c r="B114" s="1">
        <v>46044</v>
      </c>
      <c r="C114" s="2">
        <v>255.21</v>
      </c>
      <c r="D114" t="s">
        <v>38</v>
      </c>
    </row>
    <row r="115" spans="1:4" x14ac:dyDescent="0.3">
      <c r="A115" t="s">
        <v>18</v>
      </c>
      <c r="B115" s="1">
        <v>46068</v>
      </c>
      <c r="C115" s="2">
        <v>221.2</v>
      </c>
      <c r="D115" t="s">
        <v>21</v>
      </c>
    </row>
    <row r="116" spans="1:4" x14ac:dyDescent="0.3">
      <c r="A116" t="s">
        <v>6</v>
      </c>
      <c r="B116" s="1">
        <v>46058</v>
      </c>
      <c r="C116" s="2">
        <v>2188.12</v>
      </c>
      <c r="D116" t="s">
        <v>19</v>
      </c>
    </row>
    <row r="117" spans="1:4" x14ac:dyDescent="0.3">
      <c r="A117" t="s">
        <v>18</v>
      </c>
      <c r="B117" s="1">
        <v>46039</v>
      </c>
      <c r="C117" s="2">
        <v>110.44</v>
      </c>
      <c r="D117" t="s">
        <v>26</v>
      </c>
    </row>
    <row r="118" spans="1:4" x14ac:dyDescent="0.3">
      <c r="A118" t="s">
        <v>6</v>
      </c>
      <c r="B118" s="1">
        <v>46026</v>
      </c>
      <c r="C118" s="2">
        <v>76.61</v>
      </c>
      <c r="D118" t="s">
        <v>24</v>
      </c>
    </row>
    <row r="119" spans="1:4" x14ac:dyDescent="0.3">
      <c r="A119" t="s">
        <v>18</v>
      </c>
      <c r="B119" s="1">
        <v>46027</v>
      </c>
      <c r="C119" s="2">
        <v>109.43</v>
      </c>
      <c r="D119" t="s">
        <v>22</v>
      </c>
    </row>
    <row r="120" spans="1:4" x14ac:dyDescent="0.3">
      <c r="A120" t="s">
        <v>17</v>
      </c>
      <c r="B120" s="1">
        <v>46036</v>
      </c>
      <c r="C120" s="2">
        <v>141.75</v>
      </c>
      <c r="D120" t="s">
        <v>26</v>
      </c>
    </row>
    <row r="121" spans="1:4" x14ac:dyDescent="0.3">
      <c r="A121" t="s">
        <v>6</v>
      </c>
      <c r="B121" s="1">
        <v>46078</v>
      </c>
      <c r="C121" s="2">
        <v>389.33</v>
      </c>
      <c r="D121" t="s">
        <v>23</v>
      </c>
    </row>
    <row r="122" spans="1:4" x14ac:dyDescent="0.3">
      <c r="A122" t="s">
        <v>18</v>
      </c>
      <c r="B122" s="1">
        <v>46056</v>
      </c>
      <c r="C122" s="2">
        <v>84.59</v>
      </c>
      <c r="D122" t="s">
        <v>33</v>
      </c>
    </row>
    <row r="123" spans="1:4" x14ac:dyDescent="0.3">
      <c r="A123" t="s">
        <v>18</v>
      </c>
      <c r="B123" s="1">
        <v>46061</v>
      </c>
      <c r="C123" s="2">
        <v>76.81</v>
      </c>
      <c r="D123" t="s">
        <v>24</v>
      </c>
    </row>
    <row r="124" spans="1:4" x14ac:dyDescent="0.3">
      <c r="A124" t="s">
        <v>6</v>
      </c>
      <c r="B124" s="1">
        <v>46065</v>
      </c>
      <c r="C124" s="2">
        <v>449.06</v>
      </c>
      <c r="D124" t="s">
        <v>32</v>
      </c>
    </row>
    <row r="125" spans="1:4" x14ac:dyDescent="0.3">
      <c r="A125" t="s">
        <v>6</v>
      </c>
      <c r="B125" s="1">
        <v>46044</v>
      </c>
      <c r="C125" s="2">
        <v>212.01</v>
      </c>
      <c r="D125" t="s">
        <v>28</v>
      </c>
    </row>
    <row r="126" spans="1:4" x14ac:dyDescent="0.3">
      <c r="A126" t="s">
        <v>18</v>
      </c>
      <c r="B126" s="1">
        <v>46112</v>
      </c>
      <c r="C126" s="2">
        <v>243.33</v>
      </c>
      <c r="D126" t="s">
        <v>33</v>
      </c>
    </row>
    <row r="127" spans="1:4" x14ac:dyDescent="0.3">
      <c r="A127" t="s">
        <v>6</v>
      </c>
      <c r="B127" s="1">
        <v>46063</v>
      </c>
      <c r="C127" s="2">
        <v>260.42</v>
      </c>
      <c r="D127" t="s">
        <v>28</v>
      </c>
    </row>
    <row r="128" spans="1:4" x14ac:dyDescent="0.3">
      <c r="A128" t="s">
        <v>18</v>
      </c>
      <c r="B128" s="1">
        <v>46080</v>
      </c>
      <c r="C128" s="2">
        <v>79.41</v>
      </c>
      <c r="D128" t="s">
        <v>24</v>
      </c>
    </row>
    <row r="129" spans="1:4" x14ac:dyDescent="0.3">
      <c r="A129" t="s">
        <v>18</v>
      </c>
      <c r="B129" s="1">
        <v>46078</v>
      </c>
      <c r="C129" s="2">
        <v>136.35</v>
      </c>
      <c r="D129" t="s">
        <v>34</v>
      </c>
    </row>
    <row r="130" spans="1:4" x14ac:dyDescent="0.3">
      <c r="A130" t="s">
        <v>17</v>
      </c>
      <c r="B130" s="1">
        <v>46037</v>
      </c>
      <c r="C130" s="2">
        <v>61.22</v>
      </c>
      <c r="D130" t="s">
        <v>20</v>
      </c>
    </row>
    <row r="131" spans="1:4" ht="13.2" customHeight="1" x14ac:dyDescent="0.3">
      <c r="A131" t="s">
        <v>18</v>
      </c>
      <c r="B131" s="1">
        <v>46063</v>
      </c>
      <c r="C131" s="2">
        <v>2425.06</v>
      </c>
      <c r="D131" t="s">
        <v>19</v>
      </c>
    </row>
    <row r="132" spans="1:4" x14ac:dyDescent="0.3">
      <c r="A132" t="s">
        <v>6</v>
      </c>
      <c r="B132" s="1">
        <v>46097</v>
      </c>
      <c r="C132" s="2"/>
      <c r="D132" t="s">
        <v>25</v>
      </c>
    </row>
    <row r="133" spans="1:4" x14ac:dyDescent="0.3">
      <c r="A133" t="s">
        <v>6</v>
      </c>
      <c r="B133" s="1">
        <v>46028</v>
      </c>
      <c r="C133" s="2">
        <v>108.58</v>
      </c>
      <c r="D133" t="s">
        <v>30</v>
      </c>
    </row>
    <row r="134" spans="1:4" x14ac:dyDescent="0.3">
      <c r="A134" t="s">
        <v>18</v>
      </c>
      <c r="B134" s="1">
        <v>46082</v>
      </c>
      <c r="C134" s="2">
        <v>112.92</v>
      </c>
      <c r="D134" t="s">
        <v>22</v>
      </c>
    </row>
    <row r="135" spans="1:4" x14ac:dyDescent="0.3">
      <c r="A135" t="s">
        <v>18</v>
      </c>
      <c r="B135" s="1">
        <v>46064</v>
      </c>
      <c r="C135" s="2">
        <v>285.64999999999998</v>
      </c>
      <c r="D135" t="s">
        <v>27</v>
      </c>
    </row>
    <row r="136" spans="1:4" ht="13.2" customHeight="1" x14ac:dyDescent="0.3">
      <c r="A136" t="s">
        <v>18</v>
      </c>
      <c r="B136" s="1">
        <v>46105</v>
      </c>
      <c r="C136" s="2">
        <v>315.51</v>
      </c>
      <c r="D136" t="s">
        <v>31</v>
      </c>
    </row>
    <row r="137" spans="1:4" x14ac:dyDescent="0.3">
      <c r="A137" t="s">
        <v>17</v>
      </c>
      <c r="B137" s="1">
        <v>46096</v>
      </c>
      <c r="C137" s="2"/>
      <c r="D137" t="s">
        <v>20</v>
      </c>
    </row>
    <row r="138" spans="1:4" x14ac:dyDescent="0.3">
      <c r="A138" t="s">
        <v>17</v>
      </c>
      <c r="B138" s="1">
        <v>46112</v>
      </c>
      <c r="C138" s="2">
        <v>34.69</v>
      </c>
      <c r="D138" t="s">
        <v>30</v>
      </c>
    </row>
    <row r="139" spans="1:4" x14ac:dyDescent="0.3">
      <c r="A139" t="s">
        <v>17</v>
      </c>
      <c r="B139" s="1">
        <v>46086</v>
      </c>
      <c r="C139" s="2">
        <v>125.36</v>
      </c>
      <c r="D139" t="s">
        <v>21</v>
      </c>
    </row>
    <row r="140" spans="1:4" x14ac:dyDescent="0.3">
      <c r="A140" t="s">
        <v>6</v>
      </c>
      <c r="B140" s="1">
        <v>46032</v>
      </c>
      <c r="C140" s="2">
        <v>122.26</v>
      </c>
      <c r="D140" t="s">
        <v>22</v>
      </c>
    </row>
    <row r="141" spans="1:4" x14ac:dyDescent="0.3">
      <c r="A141" t="s">
        <v>6</v>
      </c>
      <c r="B141" s="1">
        <v>46103</v>
      </c>
      <c r="C141" s="2">
        <v>157.76</v>
      </c>
      <c r="D141" t="s">
        <v>28</v>
      </c>
    </row>
    <row r="142" spans="1:4" x14ac:dyDescent="0.3">
      <c r="A142" t="s">
        <v>6</v>
      </c>
      <c r="B142" s="1">
        <v>46082</v>
      </c>
      <c r="C142" s="2">
        <v>92.07</v>
      </c>
      <c r="D142" t="s">
        <v>21</v>
      </c>
    </row>
    <row r="143" spans="1:4" x14ac:dyDescent="0.3">
      <c r="A143" t="s">
        <v>17</v>
      </c>
      <c r="B143" s="1">
        <v>46056</v>
      </c>
      <c r="C143" s="2">
        <v>308.57</v>
      </c>
      <c r="D143" t="s">
        <v>27</v>
      </c>
    </row>
    <row r="144" spans="1:4" x14ac:dyDescent="0.3">
      <c r="A144" t="s">
        <v>6</v>
      </c>
      <c r="B144" s="1">
        <v>46068</v>
      </c>
      <c r="C144" s="2">
        <v>87.71</v>
      </c>
      <c r="D144" t="s">
        <v>20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ECAC3-2B68-4C25-B305-8415F8BB6CE5}">
  <dimension ref="A1:C10"/>
  <sheetViews>
    <sheetView workbookViewId="0">
      <selection activeCell="F20" sqref="F20"/>
    </sheetView>
  </sheetViews>
  <sheetFormatPr defaultRowHeight="14.4" x14ac:dyDescent="0.3"/>
  <cols>
    <col min="1" max="1" width="9" customWidth="1"/>
    <col min="2" max="2" width="10.33203125" customWidth="1"/>
    <col min="3" max="3" width="9.109375" customWidth="1"/>
  </cols>
  <sheetData>
    <row r="1" spans="1:3" ht="22.05" customHeight="1" x14ac:dyDescent="0.3">
      <c r="A1" s="3" t="s">
        <v>1</v>
      </c>
      <c r="B1" s="3" t="s">
        <v>0</v>
      </c>
      <c r="C1" s="3" t="s">
        <v>3</v>
      </c>
    </row>
    <row r="2" spans="1:3" x14ac:dyDescent="0.3">
      <c r="A2" t="s">
        <v>6</v>
      </c>
      <c r="B2" t="s">
        <v>39</v>
      </c>
      <c r="C2" s="2" cm="1">
        <f t="array" ref="C2">SUMPRODUCT((Recebimentos!A$2:A$100=A2)*(TEXT(Recebimentos!B$2:B$100,"aaaa-mm")=B2)*Recebimentos!C$2:C$100)-SUMPRODUCT((Gastos!A$2:A$144=A2)*(TEXT(Gastos!B$2:B$144,"aaaa-mm")=B2)*Gastos!C$2:C$144)</f>
        <v>7592.57</v>
      </c>
    </row>
    <row r="3" spans="1:3" x14ac:dyDescent="0.3">
      <c r="A3" t="s">
        <v>6</v>
      </c>
      <c r="B3" t="s">
        <v>40</v>
      </c>
      <c r="C3" s="2" cm="1">
        <f t="array" ref="C3">SUMPRODUCT((Recebimentos!A$2:A$100=A3)*(TEXT(Recebimentos!B$2:B$100,"aaaa-mm")=B3)*Recebimentos!C$2:C$100)-SUMPRODUCT((Gastos!A$2:A$144=A3)*(TEXT(Gastos!B$2:B$144,"aaaa-mm")=B3)*Gastos!C$2:C$144)</f>
        <v>6012.55</v>
      </c>
    </row>
    <row r="4" spans="1:3" x14ac:dyDescent="0.3">
      <c r="A4" t="s">
        <v>6</v>
      </c>
      <c r="B4" t="s">
        <v>41</v>
      </c>
      <c r="C4" s="2" cm="1">
        <f t="array" ref="C4">SUMPRODUCT((Recebimentos!A$2:A$100=A4)*(TEXT(Recebimentos!B$2:B$100,"aaaa-mm")=B4)*Recebimentos!C$2:C$100)-SUMPRODUCT((Gastos!A$2:A$144=A4)*(TEXT(Gastos!B$2:B$144,"aaaa-mm")=B4)*Gastos!C$2:C$144)</f>
        <v>9761.32</v>
      </c>
    </row>
    <row r="5" spans="1:3" x14ac:dyDescent="0.3">
      <c r="A5" t="s">
        <v>17</v>
      </c>
      <c r="B5" t="s">
        <v>39</v>
      </c>
      <c r="C5" s="2" cm="1">
        <f t="array" ref="C5">SUMPRODUCT((Recebimentos!A$2:A$100=A5)*(TEXT(Recebimentos!B$2:B$100,"aaaa-mm")=B5)*Recebimentos!C$2:C$100)-SUMPRODUCT((Gastos!A$2:A$144=A5)*(TEXT(Gastos!B$2:B$144,"aaaa-mm")=B5)*Gastos!C$2:C$144)</f>
        <v>7665.41</v>
      </c>
    </row>
    <row r="6" spans="1:3" x14ac:dyDescent="0.3">
      <c r="A6" t="s">
        <v>17</v>
      </c>
      <c r="B6" t="s">
        <v>40</v>
      </c>
      <c r="C6" s="2" cm="1">
        <f t="array" ref="C6">SUMPRODUCT((Recebimentos!A$2:A$100=A6)*(TEXT(Recebimentos!B$2:B$100,"aaaa-mm")=B6)*Recebimentos!C$2:C$100)-SUMPRODUCT((Gastos!A$2:A$144=A6)*(TEXT(Gastos!B$2:B$144,"aaaa-mm")=B6)*Gastos!C$2:C$144)</f>
        <v>12082.100000000002</v>
      </c>
    </row>
    <row r="7" spans="1:3" x14ac:dyDescent="0.3">
      <c r="A7" t="s">
        <v>17</v>
      </c>
      <c r="B7" t="s">
        <v>41</v>
      </c>
      <c r="C7" s="2" cm="1">
        <f t="array" ref="C7">SUMPRODUCT((Recebimentos!A$2:A$100=A7)*(TEXT(Recebimentos!B$2:B$100,"aaaa-mm")=B7)*Recebimentos!C$2:C$100)-SUMPRODUCT((Gastos!A$2:A$144=A7)*(TEXT(Gastos!B$2:B$144,"aaaa-mm")=B7)*Gastos!C$2:C$144)</f>
        <v>5694.1600000000008</v>
      </c>
    </row>
    <row r="8" spans="1:3" x14ac:dyDescent="0.3">
      <c r="A8" t="s">
        <v>18</v>
      </c>
      <c r="B8" t="s">
        <v>39</v>
      </c>
      <c r="C8" s="2" cm="1">
        <f t="array" ref="C8">SUMPRODUCT((Recebimentos!A$2:A$100=A8)*(TEXT(Recebimentos!B$2:B$100,"aaaa-mm")=B8)*Recebimentos!C$2:C$100)-SUMPRODUCT((Gastos!A$2:A$144=A8)*(TEXT(Gastos!B$2:B$144,"aaaa-mm")=B8)*Gastos!C$2:C$144)</f>
        <v>8127.680000000003</v>
      </c>
    </row>
    <row r="9" spans="1:3" x14ac:dyDescent="0.3">
      <c r="A9" t="s">
        <v>18</v>
      </c>
      <c r="B9" t="s">
        <v>40</v>
      </c>
      <c r="C9" s="2" cm="1">
        <f t="array" ref="C9">SUMPRODUCT((Recebimentos!A$2:A$100=A9)*(TEXT(Recebimentos!B$2:B$100,"aaaa-mm")=B9)*Recebimentos!C$2:C$100)-SUMPRODUCT((Gastos!A$2:A$144=A9)*(TEXT(Gastos!B$2:B$144,"aaaa-mm")=B9)*Gastos!C$2:C$144)</f>
        <v>8591.0599999999977</v>
      </c>
    </row>
    <row r="10" spans="1:3" x14ac:dyDescent="0.3">
      <c r="A10" t="s">
        <v>18</v>
      </c>
      <c r="B10" t="s">
        <v>41</v>
      </c>
      <c r="C10" s="2" cm="1">
        <f t="array" ref="C10">SUMPRODUCT((Recebimentos!A$2:A$100=A10)*(TEXT(Recebimentos!B$2:B$100,"aaaa-mm")=B10)*Recebimentos!C$2:C$100)-SUMPRODUCT((Gastos!A$2:A$144=A10)*(TEXT(Gastos!B$2:B$144,"aaaa-mm")=B10)*Gastos!C$2:C$144)</f>
        <v>6132.7699999999995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C3CD5-451F-4D1F-93FE-455A6746ECFB}">
  <dimension ref="A1:D10"/>
  <sheetViews>
    <sheetView workbookViewId="0">
      <selection activeCell="G12" sqref="G12"/>
    </sheetView>
  </sheetViews>
  <sheetFormatPr defaultRowHeight="14.4" x14ac:dyDescent="0.3"/>
  <cols>
    <col min="1" max="1" width="8.5546875" customWidth="1"/>
    <col min="2" max="2" width="10.33203125" customWidth="1"/>
    <col min="3" max="3" width="11.21875" customWidth="1"/>
    <col min="4" max="4" width="15.88671875" bestFit="1" customWidth="1"/>
  </cols>
  <sheetData>
    <row r="1" spans="1:4" ht="22.05" customHeight="1" x14ac:dyDescent="0.3">
      <c r="A1" s="3" t="s">
        <v>1</v>
      </c>
      <c r="B1" s="3" t="s">
        <v>0</v>
      </c>
      <c r="C1" s="3" t="s">
        <v>3</v>
      </c>
      <c r="D1" s="3" t="s">
        <v>5</v>
      </c>
    </row>
    <row r="2" spans="1:4" x14ac:dyDescent="0.3">
      <c r="A2" t="s">
        <v>6</v>
      </c>
      <c r="B2" t="s">
        <v>39</v>
      </c>
      <c r="C2" s="2">
        <f>ROUND(Sobras!C2*0.33,2)</f>
        <v>2505.5500000000002</v>
      </c>
      <c r="D2" t="s">
        <v>42</v>
      </c>
    </row>
    <row r="3" spans="1:4" x14ac:dyDescent="0.3">
      <c r="A3" t="s">
        <v>6</v>
      </c>
      <c r="B3" t="s">
        <v>40</v>
      </c>
      <c r="C3" s="2">
        <f>ROUND(Sobras!C3*0.42,2)</f>
        <v>2525.27</v>
      </c>
      <c r="D3" t="s">
        <v>43</v>
      </c>
    </row>
    <row r="4" spans="1:4" x14ac:dyDescent="0.3">
      <c r="A4" t="s">
        <v>6</v>
      </c>
      <c r="B4" t="s">
        <v>41</v>
      </c>
      <c r="C4" s="2">
        <f>ROUND(Sobras!C4*0.5,2)</f>
        <v>4880.66</v>
      </c>
      <c r="D4" t="s">
        <v>44</v>
      </c>
    </row>
    <row r="5" spans="1:4" x14ac:dyDescent="0.3">
      <c r="A5" t="s">
        <v>17</v>
      </c>
      <c r="B5" t="s">
        <v>39</v>
      </c>
      <c r="C5" s="2">
        <f>ROUND(Sobras!C5*0.63,2)</f>
        <v>4829.21</v>
      </c>
      <c r="D5" t="s">
        <v>44</v>
      </c>
    </row>
    <row r="6" spans="1:4" x14ac:dyDescent="0.3">
      <c r="A6" t="s">
        <v>17</v>
      </c>
      <c r="B6" t="s">
        <v>40</v>
      </c>
      <c r="C6" s="2">
        <f>ROUND(Sobras!C6*0.57,2)</f>
        <v>6886.8</v>
      </c>
      <c r="D6" t="s">
        <v>42</v>
      </c>
    </row>
    <row r="7" spans="1:4" x14ac:dyDescent="0.3">
      <c r="A7" t="s">
        <v>17</v>
      </c>
      <c r="B7" t="s">
        <v>41</v>
      </c>
      <c r="C7" s="2">
        <f>ROUND(Sobras!C7*0.39,2)</f>
        <v>2220.7199999999998</v>
      </c>
      <c r="D7" t="s">
        <v>44</v>
      </c>
    </row>
    <row r="8" spans="1:4" x14ac:dyDescent="0.3">
      <c r="A8" t="s">
        <v>18</v>
      </c>
      <c r="B8" t="s">
        <v>39</v>
      </c>
      <c r="C8" s="2">
        <f>ROUND(Sobras!C8*0.79,2)</f>
        <v>6420.87</v>
      </c>
      <c r="D8" t="s">
        <v>45</v>
      </c>
    </row>
    <row r="9" spans="1:4" x14ac:dyDescent="0.3">
      <c r="A9" t="s">
        <v>18</v>
      </c>
      <c r="B9" t="s">
        <v>40</v>
      </c>
      <c r="C9" s="2">
        <f>ROUND(Sobras!C9*0.78,2)</f>
        <v>6701.03</v>
      </c>
      <c r="D9" t="s">
        <v>46</v>
      </c>
    </row>
    <row r="10" spans="1:4" x14ac:dyDescent="0.3">
      <c r="A10" t="s">
        <v>18</v>
      </c>
      <c r="B10" t="s">
        <v>41</v>
      </c>
      <c r="C10" s="2">
        <f>ROUND(Sobras!C10*0.42,2)</f>
        <v>2575.7600000000002</v>
      </c>
      <c r="D10" t="s">
        <v>47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Recebimentos</vt:lpstr>
      <vt:lpstr>Gastos</vt:lpstr>
      <vt:lpstr>Sobras</vt:lpstr>
      <vt:lpstr>Investimentos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Fonseca</dc:creator>
  <cp:lastModifiedBy>João Fonseca</cp:lastModifiedBy>
  <dcterms:created xsi:type="dcterms:W3CDTF">2026-05-01T15:06:37Z</dcterms:created>
  <dcterms:modified xsi:type="dcterms:W3CDTF">2026-05-01T20:31:25Z</dcterms:modified>
</cp:coreProperties>
</file>